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76FB180A-746C-4360-8F94-85EE5DCA8C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2" sheetId="4" r:id="rId1"/>
  </sheets>
  <definedNames>
    <definedName name="_xlnm._FilterDatabase" localSheetId="0" hidden="1">'S2'!$B$3:$D$21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4" l="1"/>
  <c r="D24" i="4"/>
  <c r="B24" i="4"/>
  <c r="B23" i="4"/>
  <c r="C23" i="4"/>
  <c r="D23" i="4"/>
  <c r="B22" i="4"/>
  <c r="E22" i="4" s="1"/>
  <c r="C22" i="4"/>
  <c r="D2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3" i="4"/>
</calcChain>
</file>

<file path=xl/sharedStrings.xml><?xml version="1.0" encoding="utf-8"?>
<sst xmlns="http://schemas.openxmlformats.org/spreadsheetml/2006/main" count="29" uniqueCount="29">
  <si>
    <t>Aaron</t>
    <phoneticPr fontId="0" type="noConversion"/>
  </si>
  <si>
    <t>Billy</t>
    <phoneticPr fontId="0" type="noConversion"/>
  </si>
  <si>
    <t>Cathy</t>
  </si>
  <si>
    <t>Daniel</t>
  </si>
  <si>
    <t>Eason</t>
  </si>
  <si>
    <t>Fanny</t>
  </si>
  <si>
    <t>Gary</t>
  </si>
  <si>
    <t>Henry</t>
  </si>
  <si>
    <t>Ian</t>
  </si>
  <si>
    <t>James</t>
  </si>
  <si>
    <t>Kathy</t>
  </si>
  <si>
    <t>Lily</t>
    <phoneticPr fontId="2" type="noConversion"/>
  </si>
  <si>
    <t>Michael</t>
    <phoneticPr fontId="2" type="noConversion"/>
  </si>
  <si>
    <t>Nikky</t>
    <phoneticPr fontId="2" type="noConversion"/>
  </si>
  <si>
    <t>Oscar</t>
    <phoneticPr fontId="2" type="noConversion"/>
  </si>
  <si>
    <t>Peter</t>
    <phoneticPr fontId="2" type="noConversion"/>
  </si>
  <si>
    <t>Queenie</t>
    <phoneticPr fontId="2" type="noConversion"/>
  </si>
  <si>
    <t>Ruth</t>
    <phoneticPr fontId="2" type="noConversion"/>
  </si>
  <si>
    <t>Steven</t>
    <phoneticPr fontId="2" type="noConversion"/>
  </si>
  <si>
    <t>中二級上學期成績</t>
    <phoneticPr fontId="0" type="noConversion"/>
  </si>
  <si>
    <t>中文科</t>
    <phoneticPr fontId="0" type="noConversion"/>
  </si>
  <si>
    <t>英文科</t>
    <phoneticPr fontId="0" type="noConversion"/>
  </si>
  <si>
    <t>數學科</t>
    <phoneticPr fontId="0" type="noConversion"/>
  </si>
  <si>
    <t>總分</t>
    <phoneticPr fontId="0" type="noConversion"/>
  </si>
  <si>
    <t>平均分</t>
    <phoneticPr fontId="0" type="noConversion"/>
  </si>
  <si>
    <t>排名</t>
    <phoneticPr fontId="0" type="noConversion"/>
  </si>
  <si>
    <t>最高分數</t>
    <phoneticPr fontId="0" type="noConversion"/>
  </si>
  <si>
    <t>最低分數</t>
    <phoneticPr fontId="0" type="noConversion"/>
  </si>
  <si>
    <t>合格人數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</si>
</sst>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2"/>
      <name val="新細明體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2"/>
      <color indexed="9"/>
      <name val="Times New Roman"/>
      <family val="1"/>
    </font>
    <font>
      <b/>
      <sz val="14"/>
      <name val="細明體"/>
      <family val="3"/>
      <charset val="136"/>
    </font>
    <font>
      <b/>
      <sz val="12"/>
      <name val="細明體"/>
      <family val="3"/>
      <charset val="136"/>
    </font>
    <font>
      <sz val="12"/>
      <name val="新細明體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76" fontId="1" fillId="2" borderId="15" xfId="0" applyNumberFormat="1" applyFont="1" applyFill="1" applyBorder="1" applyAlignment="1">
      <alignment horizontal="center"/>
    </xf>
    <xf numFmtId="0" fontId="3" fillId="0" borderId="25" xfId="0" applyFont="1" applyBorder="1"/>
    <xf numFmtId="0" fontId="1" fillId="0" borderId="26" xfId="0" applyFont="1" applyBorder="1"/>
    <xf numFmtId="0" fontId="1" fillId="3" borderId="4" xfId="0" applyFont="1" applyFill="1" applyBorder="1"/>
    <xf numFmtId="0" fontId="3" fillId="0" borderId="27" xfId="0" applyFont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76" fontId="1" fillId="2" borderId="31" xfId="0" applyNumberFormat="1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130" zoomScaleNormal="130" zoomScaleSheetLayoutView="160" workbookViewId="0">
      <selection activeCell="G23" sqref="G23"/>
    </sheetView>
  </sheetViews>
  <sheetFormatPr defaultRowHeight="16.5"/>
  <cols>
    <col min="1" max="1" width="15.75" bestFit="1" customWidth="1"/>
    <col min="2" max="4" width="14.875" customWidth="1"/>
    <col min="5" max="5" width="12.125" bestFit="1" customWidth="1"/>
    <col min="6" max="6" width="15" bestFit="1" customWidth="1"/>
    <col min="7" max="7" width="9.125" bestFit="1" customWidth="1"/>
  </cols>
  <sheetData>
    <row r="1" spans="1:9" ht="20.25" thickBot="1">
      <c r="A1" s="7"/>
      <c r="B1" s="37" t="s">
        <v>19</v>
      </c>
      <c r="C1" s="38"/>
      <c r="D1" s="38"/>
      <c r="E1" s="25"/>
      <c r="F1" s="22"/>
      <c r="G1" s="23"/>
    </row>
    <row r="2" spans="1:9" ht="17.25" thickBot="1">
      <c r="A2" s="8"/>
      <c r="B2" s="30" t="s">
        <v>20</v>
      </c>
      <c r="C2" s="31" t="s">
        <v>21</v>
      </c>
      <c r="D2" s="32" t="s">
        <v>22</v>
      </c>
      <c r="E2" s="30" t="s">
        <v>23</v>
      </c>
      <c r="F2" s="31" t="s">
        <v>24</v>
      </c>
      <c r="G2" s="33" t="s">
        <v>25</v>
      </c>
    </row>
    <row r="3" spans="1:9" ht="19.5">
      <c r="A3" s="9" t="s">
        <v>0</v>
      </c>
      <c r="B3" s="18">
        <v>85</v>
      </c>
      <c r="C3" s="19">
        <v>35</v>
      </c>
      <c r="D3" s="20">
        <v>90</v>
      </c>
      <c r="E3" s="12">
        <f>SUM(B3:D3)</f>
        <v>210</v>
      </c>
      <c r="F3" s="21">
        <f>AVERAGE(B3:D3)</f>
        <v>70</v>
      </c>
      <c r="G3" s="24">
        <f>_xlfn.RANK.EQ(E3,E$3:E$21)</f>
        <v>8</v>
      </c>
    </row>
    <row r="4" spans="1:9" ht="19.5">
      <c r="A4" s="9" t="s">
        <v>1</v>
      </c>
      <c r="B4" s="2">
        <v>86</v>
      </c>
      <c r="C4" s="1">
        <v>72</v>
      </c>
      <c r="D4" s="5">
        <v>37</v>
      </c>
      <c r="E4" s="12">
        <f t="shared" ref="E4:E21" si="0">SUM(B4:D4)</f>
        <v>195</v>
      </c>
      <c r="F4" s="21">
        <f t="shared" ref="F4:F21" si="1">AVERAGE(B4:D4)</f>
        <v>65</v>
      </c>
      <c r="G4" s="24">
        <f t="shared" ref="G4:G21" si="2">_xlfn.RANK.EQ(E4,E$3:E$21)</f>
        <v>11</v>
      </c>
    </row>
    <row r="5" spans="1:9" ht="19.5">
      <c r="A5" s="9" t="s">
        <v>2</v>
      </c>
      <c r="B5" s="2">
        <v>94</v>
      </c>
      <c r="C5" s="1">
        <v>56</v>
      </c>
      <c r="D5" s="5">
        <v>79</v>
      </c>
      <c r="E5" s="12">
        <f t="shared" si="0"/>
        <v>229</v>
      </c>
      <c r="F5" s="21">
        <f t="shared" si="1"/>
        <v>76.333333333333329</v>
      </c>
      <c r="G5" s="24">
        <f t="shared" si="2"/>
        <v>4</v>
      </c>
      <c r="I5" s="39"/>
    </row>
    <row r="6" spans="1:9" ht="19.5">
      <c r="A6" s="9" t="s">
        <v>3</v>
      </c>
      <c r="B6" s="2">
        <v>50</v>
      </c>
      <c r="C6" s="1">
        <v>71</v>
      </c>
      <c r="D6" s="5">
        <v>61</v>
      </c>
      <c r="E6" s="12">
        <f t="shared" si="0"/>
        <v>182</v>
      </c>
      <c r="F6" s="21">
        <f t="shared" si="1"/>
        <v>60.666666666666664</v>
      </c>
      <c r="G6" s="24">
        <f t="shared" si="2"/>
        <v>15</v>
      </c>
    </row>
    <row r="7" spans="1:9" ht="19.5">
      <c r="A7" s="9" t="s">
        <v>4</v>
      </c>
      <c r="B7" s="2">
        <v>56</v>
      </c>
      <c r="C7" s="1">
        <v>66</v>
      </c>
      <c r="D7" s="5">
        <v>58</v>
      </c>
      <c r="E7" s="12">
        <f t="shared" si="0"/>
        <v>180</v>
      </c>
      <c r="F7" s="21">
        <f t="shared" si="1"/>
        <v>60</v>
      </c>
      <c r="G7" s="24">
        <f t="shared" si="2"/>
        <v>16</v>
      </c>
    </row>
    <row r="8" spans="1:9" ht="19.5">
      <c r="A8" s="9" t="s">
        <v>5</v>
      </c>
      <c r="B8" s="2">
        <v>36</v>
      </c>
      <c r="C8" s="1">
        <v>81</v>
      </c>
      <c r="D8" s="5">
        <v>75</v>
      </c>
      <c r="E8" s="12">
        <f t="shared" si="0"/>
        <v>192</v>
      </c>
      <c r="F8" s="21">
        <f t="shared" si="1"/>
        <v>64</v>
      </c>
      <c r="G8" s="24">
        <f t="shared" si="2"/>
        <v>12</v>
      </c>
    </row>
    <row r="9" spans="1:9" ht="19.5">
      <c r="A9" s="9" t="s">
        <v>6</v>
      </c>
      <c r="B9" s="2">
        <v>95</v>
      </c>
      <c r="C9" s="1">
        <v>80</v>
      </c>
      <c r="D9" s="5">
        <v>40</v>
      </c>
      <c r="E9" s="12">
        <f t="shared" si="0"/>
        <v>215</v>
      </c>
      <c r="F9" s="21">
        <f t="shared" si="1"/>
        <v>71.666666666666671</v>
      </c>
      <c r="G9" s="24">
        <f t="shared" si="2"/>
        <v>7</v>
      </c>
    </row>
    <row r="10" spans="1:9" ht="19.5">
      <c r="A10" s="9" t="s">
        <v>7</v>
      </c>
      <c r="B10" s="2">
        <v>91</v>
      </c>
      <c r="C10" s="1">
        <v>68</v>
      </c>
      <c r="D10" s="5">
        <v>44</v>
      </c>
      <c r="E10" s="12">
        <f t="shared" si="0"/>
        <v>203</v>
      </c>
      <c r="F10" s="21">
        <f t="shared" si="1"/>
        <v>67.666666666666671</v>
      </c>
      <c r="G10" s="24">
        <f t="shared" si="2"/>
        <v>10</v>
      </c>
    </row>
    <row r="11" spans="1:9" ht="19.5">
      <c r="A11" s="9" t="s">
        <v>8</v>
      </c>
      <c r="B11" s="2">
        <v>48</v>
      </c>
      <c r="C11" s="1">
        <v>85</v>
      </c>
      <c r="D11" s="5">
        <v>43</v>
      </c>
      <c r="E11" s="12">
        <f t="shared" si="0"/>
        <v>176</v>
      </c>
      <c r="F11" s="21">
        <f t="shared" si="1"/>
        <v>58.666666666666664</v>
      </c>
      <c r="G11" s="24">
        <f t="shared" si="2"/>
        <v>17</v>
      </c>
    </row>
    <row r="12" spans="1:9" ht="19.5">
      <c r="A12" s="9" t="s">
        <v>9</v>
      </c>
      <c r="B12" s="2">
        <v>31</v>
      </c>
      <c r="C12" s="1">
        <v>66</v>
      </c>
      <c r="D12" s="5">
        <v>89</v>
      </c>
      <c r="E12" s="12">
        <f t="shared" si="0"/>
        <v>186</v>
      </c>
      <c r="F12" s="21">
        <f t="shared" si="1"/>
        <v>62</v>
      </c>
      <c r="G12" s="24">
        <f t="shared" si="2"/>
        <v>13</v>
      </c>
    </row>
    <row r="13" spans="1:9" ht="19.5">
      <c r="A13" s="9" t="s">
        <v>10</v>
      </c>
      <c r="B13" s="2">
        <v>80</v>
      </c>
      <c r="C13" s="1">
        <v>94</v>
      </c>
      <c r="D13" s="5">
        <v>81</v>
      </c>
      <c r="E13" s="12">
        <f t="shared" si="0"/>
        <v>255</v>
      </c>
      <c r="F13" s="21">
        <f t="shared" si="1"/>
        <v>85</v>
      </c>
      <c r="G13" s="24">
        <f t="shared" si="2"/>
        <v>1</v>
      </c>
    </row>
    <row r="14" spans="1:9" ht="19.5">
      <c r="A14" s="9" t="s">
        <v>11</v>
      </c>
      <c r="B14" s="2">
        <v>91</v>
      </c>
      <c r="C14" s="1">
        <v>89</v>
      </c>
      <c r="D14" s="5">
        <v>37</v>
      </c>
      <c r="E14" s="12">
        <f t="shared" si="0"/>
        <v>217</v>
      </c>
      <c r="F14" s="21">
        <f t="shared" si="1"/>
        <v>72.333333333333329</v>
      </c>
      <c r="G14" s="24">
        <f t="shared" si="2"/>
        <v>6</v>
      </c>
    </row>
    <row r="15" spans="1:9" ht="19.5">
      <c r="A15" s="9" t="s">
        <v>12</v>
      </c>
      <c r="B15" s="2">
        <v>81</v>
      </c>
      <c r="C15" s="1">
        <v>88</v>
      </c>
      <c r="D15" s="5">
        <v>58</v>
      </c>
      <c r="E15" s="12">
        <f t="shared" si="0"/>
        <v>227</v>
      </c>
      <c r="F15" s="21">
        <f t="shared" si="1"/>
        <v>75.666666666666671</v>
      </c>
      <c r="G15" s="24">
        <f t="shared" si="2"/>
        <v>5</v>
      </c>
    </row>
    <row r="16" spans="1:9" ht="19.5">
      <c r="A16" s="9" t="s">
        <v>13</v>
      </c>
      <c r="B16" s="2">
        <v>44</v>
      </c>
      <c r="C16" s="1">
        <v>93</v>
      </c>
      <c r="D16" s="5">
        <v>67</v>
      </c>
      <c r="E16" s="12">
        <f t="shared" si="0"/>
        <v>204</v>
      </c>
      <c r="F16" s="21">
        <f t="shared" si="1"/>
        <v>68</v>
      </c>
      <c r="G16" s="24">
        <f t="shared" si="2"/>
        <v>9</v>
      </c>
    </row>
    <row r="17" spans="1:7" ht="19.5">
      <c r="A17" s="9" t="s">
        <v>14</v>
      </c>
      <c r="B17" s="2">
        <v>71</v>
      </c>
      <c r="C17" s="1">
        <v>94</v>
      </c>
      <c r="D17" s="5">
        <v>86</v>
      </c>
      <c r="E17" s="12">
        <f t="shared" si="0"/>
        <v>251</v>
      </c>
      <c r="F17" s="21">
        <f t="shared" si="1"/>
        <v>83.666666666666671</v>
      </c>
      <c r="G17" s="24">
        <f t="shared" si="2"/>
        <v>2</v>
      </c>
    </row>
    <row r="18" spans="1:7" ht="19.5">
      <c r="A18" s="9" t="s">
        <v>15</v>
      </c>
      <c r="B18" s="2">
        <v>56</v>
      </c>
      <c r="C18" s="1">
        <v>53</v>
      </c>
      <c r="D18" s="5">
        <v>52</v>
      </c>
      <c r="E18" s="12">
        <f t="shared" si="0"/>
        <v>161</v>
      </c>
      <c r="F18" s="21">
        <f t="shared" si="1"/>
        <v>53.666666666666664</v>
      </c>
      <c r="G18" s="24">
        <f t="shared" si="2"/>
        <v>18</v>
      </c>
    </row>
    <row r="19" spans="1:7" ht="19.5">
      <c r="A19" s="9" t="s">
        <v>16</v>
      </c>
      <c r="B19" s="2">
        <v>64</v>
      </c>
      <c r="C19" s="1">
        <v>75</v>
      </c>
      <c r="D19" s="5">
        <v>47</v>
      </c>
      <c r="E19" s="12">
        <f t="shared" si="0"/>
        <v>186</v>
      </c>
      <c r="F19" s="21">
        <f t="shared" si="1"/>
        <v>62</v>
      </c>
      <c r="G19" s="24">
        <f t="shared" si="2"/>
        <v>13</v>
      </c>
    </row>
    <row r="20" spans="1:7" ht="19.5">
      <c r="A20" s="9" t="s">
        <v>17</v>
      </c>
      <c r="B20" s="2">
        <v>95</v>
      </c>
      <c r="C20" s="1">
        <v>82</v>
      </c>
      <c r="D20" s="5">
        <v>68</v>
      </c>
      <c r="E20" s="12">
        <f t="shared" si="0"/>
        <v>245</v>
      </c>
      <c r="F20" s="21">
        <f t="shared" si="1"/>
        <v>81.666666666666671</v>
      </c>
      <c r="G20" s="24">
        <f t="shared" si="2"/>
        <v>3</v>
      </c>
    </row>
    <row r="21" spans="1:7" ht="20.25" thickBot="1">
      <c r="A21" s="11" t="s">
        <v>18</v>
      </c>
      <c r="B21" s="3">
        <v>67</v>
      </c>
      <c r="C21" s="4">
        <v>40</v>
      </c>
      <c r="D21" s="6">
        <v>43</v>
      </c>
      <c r="E21" s="12">
        <f t="shared" si="0"/>
        <v>150</v>
      </c>
      <c r="F21" s="21">
        <f t="shared" si="1"/>
        <v>50</v>
      </c>
      <c r="G21" s="24">
        <f t="shared" si="2"/>
        <v>19</v>
      </c>
    </row>
    <row r="22" spans="1:7">
      <c r="A22" s="34" t="s">
        <v>26</v>
      </c>
      <c r="B22" s="28">
        <f>MAX(B3:B21)</f>
        <v>95</v>
      </c>
      <c r="C22" s="26">
        <f>MAX(C3:C21)</f>
        <v>94</v>
      </c>
      <c r="D22" s="27">
        <f>MAX(D3:D21)</f>
        <v>90</v>
      </c>
      <c r="E22" s="13">
        <f>SUM(B22:D22)</f>
        <v>279</v>
      </c>
      <c r="F22" s="13"/>
      <c r="G22" s="14"/>
    </row>
    <row r="23" spans="1:7">
      <c r="A23" s="35" t="s">
        <v>27</v>
      </c>
      <c r="B23" s="15">
        <f>MIN(B3:B21)</f>
        <v>31</v>
      </c>
      <c r="C23" s="10">
        <f>MIN(C3:C21)</f>
        <v>35</v>
      </c>
      <c r="D23" s="16">
        <f>MIN(D3:D21)</f>
        <v>37</v>
      </c>
      <c r="E23" s="17"/>
      <c r="F23" s="17"/>
      <c r="G23" s="14"/>
    </row>
    <row r="24" spans="1:7" ht="17.25" thickBot="1">
      <c r="A24" s="36" t="s">
        <v>28</v>
      </c>
      <c r="B24" s="29">
        <f>COUNTIF(B3:B21,"&gt;50")</f>
        <v>14</v>
      </c>
      <c r="C24" s="29">
        <f>COUNTIF(C3:C21,"&gt;50")</f>
        <v>17</v>
      </c>
      <c r="D24" s="29">
        <f t="shared" ref="C24:D24" si="3">COUNTIF(D3:D21,"&gt;50")</f>
        <v>12</v>
      </c>
      <c r="E24" s="14"/>
      <c r="F24" s="14"/>
      <c r="G24" s="14"/>
    </row>
    <row r="25" spans="1:7" ht="17.25" thickTop="1"/>
  </sheetData>
  <mergeCells count="1">
    <mergeCell ref="B1:D1"/>
  </mergeCells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8322B7577F7979449805882AFDD8DFAB" ma:contentTypeVersion="6" ma:contentTypeDescription="建立新的文件。" ma:contentTypeScope="" ma:versionID="42b02b602dcc786a5e53ef644dfc8980">
  <xsd:schema xmlns:xsd="http://www.w3.org/2001/XMLSchema" xmlns:xs="http://www.w3.org/2001/XMLSchema" xmlns:p="http://schemas.microsoft.com/office/2006/metadata/properties" xmlns:ns2="0f6bf0e4-7b09-476a-bf04-377a057cf8f6" targetNamespace="http://schemas.microsoft.com/office/2006/metadata/properties" ma:root="true" ma:fieldsID="afcd5a9944b50e2a6cb65a3cae45b55a" ns2:_="">
    <xsd:import namespace="0f6bf0e4-7b09-476a-bf04-377a057cf8f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bf0e4-7b09-476a-bf04-377a057cf8f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f6bf0e4-7b09-476a-bf04-377a057cf8f6" xsi:nil="true"/>
  </documentManagement>
</p:properties>
</file>

<file path=customXml/itemProps1.xml><?xml version="1.0" encoding="utf-8"?>
<ds:datastoreItem xmlns:ds="http://schemas.openxmlformats.org/officeDocument/2006/customXml" ds:itemID="{60923DC9-D3A2-42C4-BFFF-15B468F2BD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312DE8-52D9-42B5-B9A3-E530B84FC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6bf0e4-7b09-476a-bf04-377a057cf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5B1B29-C20A-4693-BF66-AC6459641188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0f6bf0e4-7b09-476a-bf04-377a057cf8f6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S2</vt:lpstr>
    </vt:vector>
  </TitlesOfParts>
  <Company>Chan's Family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Lego</dc:creator>
  <cp:lastModifiedBy>student</cp:lastModifiedBy>
  <cp:revision/>
  <dcterms:created xsi:type="dcterms:W3CDTF">2004-08-17T08:22:58Z</dcterms:created>
  <dcterms:modified xsi:type="dcterms:W3CDTF">2024-01-29T06:52:20Z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0x0101008322B7577F7979449805882AFDD8DFAB</vt:lpwstr>
  </property>
</Properties>
</file>