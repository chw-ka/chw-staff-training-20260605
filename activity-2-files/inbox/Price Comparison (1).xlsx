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<sst xmlns="http://schemas.openxmlformats.org/spreadsheetml/2006/main" count="33" uniqueCount="25">
  <si>
    <t>學年</t>
  </si>
  <si>
    <t>2024-2025</t>
  </si>
  <si>
    <t>2021-2022</t>
  </si>
  <si>
    <t>學校</t>
  </si>
  <si>
    <t>迦密聖道中學</t>
  </si>
  <si>
    <t>基督教聖約教會堅樂中學</t>
  </si>
  <si>
    <t>中華基督教會基智中學</t>
  </si>
  <si>
    <t>迦密柏雨中學</t>
  </si>
  <si>
    <t>公司</t>
  </si>
  <si>
    <t>高智慧創意有限公司</t>
  </si>
  <si>
    <t>ASK Idea (Hong Kong) Limited</t>
  </si>
  <si>
    <t>Avatech Innovation Limited</t>
  </si>
  <si>
    <t>Union Education</t>
  </si>
  <si>
    <t>課程</t>
  </si>
  <si>
    <t>Arduino校本課程：智慧教室創意工作坊</t>
  </si>
  <si>
    <t>智慧海洋珊瑚保育科技革新STEAM課程 (2023-2024)</t>
  </si>
  <si>
    <t>IT Lab 區塊鏈企業家STEAM課程</t>
  </si>
  <si>
    <t>無人機編程避障任務</t>
  </si>
  <si>
    <t>智能沙箱工作坊</t>
  </si>
  <si>
    <t>人工智慧及機械臂應用</t>
  </si>
  <si>
    <t>學生人數</t>
  </si>
  <si>
    <t>堂數</t>
  </si>
  <si>
    <t>每堂時數</t>
  </si>
  <si>
    <t>價錢</t>
  </si>
  <si>
    <t>價錢/學生/時數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</si>
</sst>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8.13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7</v>
      </c>
    </row>
    <row r="3">
      <c r="A3" s="1" t="s">
        <v>8</v>
      </c>
      <c r="B3" s="1" t="s">
        <v>9</v>
      </c>
      <c r="C3" s="1" t="s">
        <v>9</v>
      </c>
      <c r="D3" s="1" t="s">
        <v>9</v>
      </c>
      <c r="E3" s="1" t="s">
        <v>10</v>
      </c>
      <c r="F3" s="1" t="s">
        <v>11</v>
      </c>
      <c r="G3" s="1" t="s">
        <v>12</v>
      </c>
    </row>
    <row r="4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>
      <c r="A5" s="1" t="s">
        <v>20</v>
      </c>
      <c r="B5" s="1">
        <v>240.0</v>
      </c>
      <c r="C5" s="1">
        <v>120.0</v>
      </c>
      <c r="D5" s="1">
        <v>30.0</v>
      </c>
      <c r="E5" s="1">
        <v>120.0</v>
      </c>
      <c r="F5" s="1">
        <v>30.0</v>
      </c>
      <c r="G5" s="1">
        <v>120.0</v>
      </c>
    </row>
    <row r="6">
      <c r="A6" s="1" t="s">
        <v>21</v>
      </c>
      <c r="B6" s="1">
        <v>9.0</v>
      </c>
      <c r="C6" s="1">
        <v>4.0</v>
      </c>
      <c r="D6" s="1">
        <v>14.0</v>
      </c>
      <c r="E6" s="1">
        <v>2.0</v>
      </c>
      <c r="F6" s="1">
        <v>7.0</v>
      </c>
      <c r="G6" s="1">
        <v>5.0</v>
      </c>
    </row>
    <row r="7">
      <c r="A7" s="1" t="s">
        <v>22</v>
      </c>
      <c r="B7" s="1">
        <v>1.5</v>
      </c>
      <c r="C7" s="1">
        <v>2.0</v>
      </c>
      <c r="D7" s="1">
        <v>2.0</v>
      </c>
      <c r="E7" s="1">
        <v>1.5</v>
      </c>
      <c r="F7" s="1">
        <v>1.5</v>
      </c>
      <c r="G7" s="1">
        <v>1.5</v>
      </c>
    </row>
    <row r="8">
      <c r="A8" s="3" t="s">
        <v>23</v>
      </c>
      <c r="B8" s="3">
        <v>300000.0</v>
      </c>
      <c r="C8" s="3">
        <v>120000.0</v>
      </c>
      <c r="D8" s="3">
        <v>84000.0</v>
      </c>
      <c r="E8" s="3">
        <v>49800.0</v>
      </c>
      <c r="F8" s="3">
        <v>42000.0</v>
      </c>
      <c r="G8" s="3">
        <v>138000.0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3" t="s">
        <v>24</v>
      </c>
      <c r="B9" s="5">
        <f t="shared" ref="B9:G9" si="1">B8/B7/B6/B5</f>
        <v>92.59259259</v>
      </c>
      <c r="C9" s="5">
        <f t="shared" si="1"/>
        <v>125</v>
      </c>
      <c r="D9" s="5">
        <f t="shared" si="1"/>
        <v>100</v>
      </c>
      <c r="E9" s="5">
        <f t="shared" si="1"/>
        <v>138.3333333</v>
      </c>
      <c r="F9" s="5">
        <f t="shared" si="1"/>
        <v>133.3333333</v>
      </c>
      <c r="G9" s="5">
        <f t="shared" si="1"/>
        <v>153.3333333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</sheetData>
  <drawing r:id="rId1"/>
  <tableParts count="1">
    <tablePart r:id="rId3"/>
  </tableParts>
</worksheet>
</file>