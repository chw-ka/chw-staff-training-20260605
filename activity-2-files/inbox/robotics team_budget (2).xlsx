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T\Desktop\"/>
    </mc:Choice>
  </mc:AlternateContent>
  <xr:revisionPtr revIDLastSave="0" documentId="13_ncr:1_{4083258C-D008-4BEF-B35E-ADBDC29ECC82}" xr6:coauthVersionLast="47" xr6:coauthVersionMax="47" xr10:uidLastSave="{00000000-0000-0000-0000-000000000000}"/>
  <bookViews>
    <workbookView xWindow="-108" yWindow="-108" windowWidth="16536" windowHeight="8712" activeTab="1" xr2:uid="{556597DC-0C4B-4088-B934-8ABB60D5A386}"/>
  </bookViews>
  <sheets>
    <sheet name="學生入門" sheetId="1" r:id="rId1"/>
    <sheet name="學生進深" sheetId="2" r:id="rId2"/>
    <sheet name="展示" sheetId="3" r:id="rId3"/>
    <sheet name="總數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5" i="1" l="1"/>
  <c r="H39" i="1"/>
  <c r="H31" i="1"/>
  <c r="D4" i="3"/>
  <c r="D5" i="3"/>
  <c r="D3" i="3"/>
  <c r="C7" i="4"/>
  <c r="C3" i="4"/>
  <c r="I51" i="1"/>
  <c r="C5" i="4"/>
  <c r="E7" i="3"/>
  <c r="F3" i="1" l="1"/>
  <c r="G41" i="1"/>
  <c r="G47" i="1"/>
  <c r="G48" i="1"/>
  <c r="G49" i="1"/>
  <c r="G42" i="1"/>
  <c r="G43" i="1"/>
  <c r="G34" i="1"/>
  <c r="G35" i="1"/>
  <c r="G36" i="1"/>
  <c r="G37" i="1"/>
  <c r="G33" i="1"/>
  <c r="G22" i="1"/>
  <c r="G23" i="1"/>
  <c r="G24" i="1"/>
  <c r="G25" i="1"/>
  <c r="G26" i="1"/>
  <c r="G27" i="1"/>
  <c r="G28" i="1"/>
  <c r="G29" i="1"/>
  <c r="G21" i="1"/>
  <c r="G8" i="1"/>
  <c r="G9" i="1"/>
  <c r="G10" i="1"/>
  <c r="G11" i="1"/>
  <c r="G12" i="1"/>
  <c r="G13" i="1"/>
  <c r="G14" i="1"/>
  <c r="G15" i="1"/>
  <c r="G16" i="1"/>
  <c r="G17" i="1"/>
  <c r="G7" i="1"/>
</calcChain>
</file>

<file path=xl/sharedStrings.xml><?xml version="1.0" encoding="utf-8"?>
<sst xmlns="http://schemas.openxmlformats.org/spreadsheetml/2006/main" count="103" uniqueCount="78">
  <si>
    <t>Robotics Team</t>
    <phoneticPr fontId="1" type="noConversion"/>
  </si>
  <si>
    <t>Arduino智能小車機械人套件</t>
    <phoneticPr fontId="1" type="noConversion"/>
  </si>
  <si>
    <t>Arduino Uno主板</t>
    <phoneticPr fontId="1" type="noConversion"/>
  </si>
  <si>
    <t>UNO extention板</t>
    <phoneticPr fontId="1" type="noConversion"/>
  </si>
  <si>
    <t>L298 N板</t>
    <phoneticPr fontId="1" type="noConversion"/>
  </si>
  <si>
    <t>3mm 膠機械人底盤</t>
    <phoneticPr fontId="1" type="noConversion"/>
  </si>
  <si>
    <t>六電池電池盒</t>
    <phoneticPr fontId="1" type="noConversion"/>
  </si>
  <si>
    <t>65 mm膠輪子</t>
    <phoneticPr fontId="1" type="noConversion"/>
  </si>
  <si>
    <t>TT摩打</t>
    <phoneticPr fontId="1" type="noConversion"/>
  </si>
  <si>
    <t>電池盒轉接板</t>
    <phoneticPr fontId="1" type="noConversion"/>
  </si>
  <si>
    <t>jumper wire</t>
    <phoneticPr fontId="1" type="noConversion"/>
  </si>
  <si>
    <t>USB cable</t>
    <phoneticPr fontId="1" type="noConversion"/>
  </si>
  <si>
    <t>基本套件</t>
    <phoneticPr fontId="1" type="noConversion"/>
  </si>
  <si>
    <t>附件</t>
    <phoneticPr fontId="1" type="noConversion"/>
  </si>
  <si>
    <t>摩打固定片</t>
    <phoneticPr fontId="1" type="noConversion"/>
  </si>
  <si>
    <t>銅柱</t>
    <phoneticPr fontId="1" type="noConversion"/>
  </si>
  <si>
    <t>M3*25</t>
    <phoneticPr fontId="1" type="noConversion"/>
  </si>
  <si>
    <t>M3*10</t>
    <phoneticPr fontId="1" type="noConversion"/>
  </si>
  <si>
    <t>螺絲</t>
    <phoneticPr fontId="1" type="noConversion"/>
  </si>
  <si>
    <t>M3*8</t>
    <phoneticPr fontId="1" type="noConversion"/>
  </si>
  <si>
    <t>M3*30</t>
    <phoneticPr fontId="1" type="noConversion"/>
  </si>
  <si>
    <t>2P線</t>
    <phoneticPr fontId="1" type="noConversion"/>
  </si>
  <si>
    <t>20 cm</t>
    <phoneticPr fontId="1" type="noConversion"/>
  </si>
  <si>
    <t>螺絲帽</t>
    <phoneticPr fontId="1" type="noConversion"/>
  </si>
  <si>
    <t>M3</t>
    <phoneticPr fontId="1" type="noConversion"/>
  </si>
  <si>
    <t>萬向輪</t>
    <phoneticPr fontId="1" type="noConversion"/>
  </si>
  <si>
    <t>索帶</t>
    <phoneticPr fontId="1" type="noConversion"/>
  </si>
  <si>
    <t>套餐E</t>
    <phoneticPr fontId="1" type="noConversion"/>
  </si>
  <si>
    <t>wide angle ultrasonic obstable avoidance</t>
    <phoneticPr fontId="1" type="noConversion"/>
  </si>
  <si>
    <t>ultrasonic sensor</t>
    <phoneticPr fontId="1" type="noConversion"/>
  </si>
  <si>
    <t>M3*50</t>
    <phoneticPr fontId="1" type="noConversion"/>
  </si>
  <si>
    <t>servo motor</t>
    <phoneticPr fontId="1" type="noConversion"/>
  </si>
  <si>
    <t>servo motor mount</t>
    <phoneticPr fontId="1" type="noConversion"/>
  </si>
  <si>
    <t>2 channels</t>
  </si>
  <si>
    <t>line following sensor</t>
    <phoneticPr fontId="1" type="noConversion"/>
  </si>
  <si>
    <t>infrared sensor</t>
    <phoneticPr fontId="1" type="noConversion"/>
  </si>
  <si>
    <t>套餐A</t>
    <phoneticPr fontId="1" type="noConversion"/>
  </si>
  <si>
    <t>line following</t>
    <phoneticPr fontId="1" type="noConversion"/>
  </si>
  <si>
    <t>infrared obstacle avoidance</t>
    <phoneticPr fontId="1" type="noConversion"/>
  </si>
  <si>
    <t>套餐B</t>
    <phoneticPr fontId="1" type="noConversion"/>
  </si>
  <si>
    <t>Roboduino V2</t>
    <phoneticPr fontId="1" type="noConversion"/>
  </si>
  <si>
    <t>AI 仿生四足機械人</t>
    <phoneticPr fontId="1" type="noConversion"/>
  </si>
  <si>
    <t>智能四足仿生机器人12舵机Arduino电动避障语音识别毕设教育礼物</t>
    <phoneticPr fontId="1" type="noConversion"/>
  </si>
  <si>
    <t>AI 機械臂</t>
    <phoneticPr fontId="1" type="noConversion"/>
  </si>
  <si>
    <t>树莓派4B/jetson nano视觉机械臂语音识别播报模块智能机器人套件</t>
    <phoneticPr fontId="1" type="noConversion"/>
  </si>
  <si>
    <t>學生入門</t>
  </si>
  <si>
    <t>展示</t>
    <phoneticPr fontId="1" type="noConversion"/>
  </si>
  <si>
    <t>學生進深</t>
    <phoneticPr fontId="1" type="noConversion"/>
  </si>
  <si>
    <t>機械人控制底板</t>
    <phoneticPr fontId="1" type="noConversion"/>
  </si>
  <si>
    <t>感應器</t>
    <phoneticPr fontId="1" type="noConversion"/>
  </si>
  <si>
    <t>wheel encoder</t>
    <phoneticPr fontId="1" type="noConversion"/>
  </si>
  <si>
    <t>Bluetooth sensor</t>
    <phoneticPr fontId="1" type="noConversion"/>
  </si>
  <si>
    <t>舵機驅動板</t>
    <phoneticPr fontId="1" type="noConversion"/>
  </si>
  <si>
    <t>L298N電機驅動板</t>
    <phoneticPr fontId="1" type="noConversion"/>
  </si>
  <si>
    <t>两路</t>
  </si>
  <si>
    <t>四路</t>
    <phoneticPr fontId="1" type="noConversion"/>
  </si>
  <si>
    <t>16路</t>
    <phoneticPr fontId="1" type="noConversion"/>
  </si>
  <si>
    <t>24路</t>
    <phoneticPr fontId="1" type="noConversion"/>
  </si>
  <si>
    <t>機械人底盤</t>
    <phoneticPr fontId="1" type="noConversion"/>
  </si>
  <si>
    <t>ROS機械人智能小車底盤</t>
    <phoneticPr fontId="1" type="noConversion"/>
  </si>
  <si>
    <t>電路板</t>
    <phoneticPr fontId="1" type="noConversion"/>
  </si>
  <si>
    <t>STM32</t>
    <phoneticPr fontId="1" type="noConversion"/>
  </si>
  <si>
    <t>MSPM0</t>
    <phoneticPr fontId="1" type="noConversion"/>
  </si>
  <si>
    <t>IR line follower sensor</t>
    <phoneticPr fontId="1" type="noConversion"/>
  </si>
  <si>
    <t>Raspberry Pi</t>
    <phoneticPr fontId="1" type="noConversion"/>
  </si>
  <si>
    <t>3路</t>
    <phoneticPr fontId="1" type="noConversion"/>
  </si>
  <si>
    <t>4路</t>
    <phoneticPr fontId="1" type="noConversion"/>
  </si>
  <si>
    <t>8路</t>
    <phoneticPr fontId="1" type="noConversion"/>
  </si>
  <si>
    <t>mecanum wheel</t>
    <phoneticPr fontId="1" type="noConversion"/>
  </si>
  <si>
    <t>摩打</t>
    <phoneticPr fontId="1" type="noConversion"/>
  </si>
  <si>
    <t>TT motor</t>
    <phoneticPr fontId="1" type="noConversion"/>
  </si>
  <si>
    <t>車輪</t>
    <phoneticPr fontId="1" type="noConversion"/>
  </si>
  <si>
    <t>連接器</t>
    <phoneticPr fontId="1" type="noConversion"/>
  </si>
  <si>
    <t>MPU6050</t>
    <phoneticPr fontId="1" type="noConversion"/>
  </si>
  <si>
    <t>6軸</t>
    <phoneticPr fontId="1" type="noConversion"/>
  </si>
  <si>
    <t>LIDAR</t>
    <phoneticPr fontId="1" type="noConversion"/>
  </si>
  <si>
    <t>測速碼盤</t>
    <phoneticPr fontId="1" type="noConversion"/>
  </si>
  <si>
    <t>TT motor支架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</si>
</sst>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rgb="FF151516"/>
      <name val="新細明體"/>
      <family val="1"/>
      <charset val="136"/>
      <scheme val="minor"/>
    </font>
    <font>
      <u/>
      <sz val="12"/>
      <color theme="1"/>
      <name val="新細明體"/>
      <family val="2"/>
      <charset val="136"/>
      <scheme val="minor"/>
    </font>
    <font>
      <u/>
      <sz val="12"/>
      <color theme="1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713BC-59A0-4CC0-8A4B-D37B476333AE}">
  <dimension ref="A1:I51"/>
  <sheetViews>
    <sheetView topLeftCell="A43" zoomScale="85" zoomScaleNormal="85" workbookViewId="0">
      <selection activeCell="A39" sqref="A39"/>
    </sheetView>
  </sheetViews>
  <sheetFormatPr defaultRowHeight="16.2" x14ac:dyDescent="0.3"/>
  <cols>
    <col min="1" max="1" width="30.109375" bestFit="1" customWidth="1"/>
    <col min="2" max="2" width="17.88671875" customWidth="1"/>
  </cols>
  <sheetData>
    <row r="1" spans="1:7" x14ac:dyDescent="0.3">
      <c r="A1" t="s">
        <v>0</v>
      </c>
      <c r="B1" t="s">
        <v>45</v>
      </c>
    </row>
    <row r="3" spans="1:7" x14ac:dyDescent="0.3">
      <c r="A3" t="s">
        <v>1</v>
      </c>
      <c r="F3">
        <f>F31+F39+F45</f>
        <v>6</v>
      </c>
    </row>
    <row r="5" spans="1:7" x14ac:dyDescent="0.3">
      <c r="A5" t="s">
        <v>12</v>
      </c>
    </row>
    <row r="7" spans="1:7" x14ac:dyDescent="0.3">
      <c r="A7" t="s">
        <v>2</v>
      </c>
      <c r="D7">
        <v>1</v>
      </c>
      <c r="G7">
        <f>D7*$F$3</f>
        <v>6</v>
      </c>
    </row>
    <row r="8" spans="1:7" x14ac:dyDescent="0.3">
      <c r="A8" t="s">
        <v>3</v>
      </c>
      <c r="D8">
        <v>1</v>
      </c>
      <c r="G8">
        <f t="shared" ref="G8:G17" si="0">D8*$F$3</f>
        <v>6</v>
      </c>
    </row>
    <row r="9" spans="1:7" x14ac:dyDescent="0.3">
      <c r="A9" t="s">
        <v>4</v>
      </c>
      <c r="D9">
        <v>1</v>
      </c>
      <c r="G9">
        <f t="shared" si="0"/>
        <v>6</v>
      </c>
    </row>
    <row r="10" spans="1:7" x14ac:dyDescent="0.3">
      <c r="A10" t="s">
        <v>5</v>
      </c>
      <c r="D10">
        <v>1</v>
      </c>
      <c r="G10">
        <f t="shared" si="0"/>
        <v>6</v>
      </c>
    </row>
    <row r="11" spans="1:7" x14ac:dyDescent="0.3">
      <c r="A11" t="s">
        <v>6</v>
      </c>
      <c r="D11">
        <v>1</v>
      </c>
      <c r="G11">
        <f t="shared" si="0"/>
        <v>6</v>
      </c>
    </row>
    <row r="12" spans="1:7" x14ac:dyDescent="0.3">
      <c r="A12" t="s">
        <v>7</v>
      </c>
      <c r="D12">
        <v>2</v>
      </c>
      <c r="G12">
        <f t="shared" si="0"/>
        <v>12</v>
      </c>
    </row>
    <row r="13" spans="1:7" x14ac:dyDescent="0.3">
      <c r="A13" t="s">
        <v>8</v>
      </c>
      <c r="D13">
        <v>2</v>
      </c>
      <c r="G13">
        <f t="shared" si="0"/>
        <v>12</v>
      </c>
    </row>
    <row r="14" spans="1:7" x14ac:dyDescent="0.3">
      <c r="A14" t="s">
        <v>9</v>
      </c>
      <c r="D14">
        <v>1</v>
      </c>
      <c r="G14">
        <f t="shared" si="0"/>
        <v>6</v>
      </c>
    </row>
    <row r="15" spans="1:7" x14ac:dyDescent="0.3">
      <c r="A15" t="s">
        <v>14</v>
      </c>
      <c r="D15">
        <v>4</v>
      </c>
      <c r="G15">
        <f t="shared" si="0"/>
        <v>24</v>
      </c>
    </row>
    <row r="16" spans="1:7" x14ac:dyDescent="0.3">
      <c r="A16" t="s">
        <v>10</v>
      </c>
      <c r="D16">
        <v>4</v>
      </c>
      <c r="G16">
        <f t="shared" si="0"/>
        <v>24</v>
      </c>
    </row>
    <row r="17" spans="1:9" x14ac:dyDescent="0.3">
      <c r="A17" t="s">
        <v>11</v>
      </c>
      <c r="D17">
        <v>1</v>
      </c>
      <c r="G17">
        <f t="shared" si="0"/>
        <v>6</v>
      </c>
    </row>
    <row r="19" spans="1:9" x14ac:dyDescent="0.3">
      <c r="A19" t="s">
        <v>13</v>
      </c>
    </row>
    <row r="21" spans="1:9" x14ac:dyDescent="0.3">
      <c r="A21" t="s">
        <v>15</v>
      </c>
      <c r="B21" t="s">
        <v>16</v>
      </c>
      <c r="D21">
        <v>8</v>
      </c>
      <c r="G21">
        <f t="shared" ref="G21:G29" si="1">D21*$F$3</f>
        <v>48</v>
      </c>
    </row>
    <row r="22" spans="1:9" x14ac:dyDescent="0.3">
      <c r="A22" t="s">
        <v>15</v>
      </c>
      <c r="B22" t="s">
        <v>17</v>
      </c>
      <c r="D22">
        <v>4</v>
      </c>
      <c r="G22">
        <f t="shared" si="1"/>
        <v>24</v>
      </c>
    </row>
    <row r="23" spans="1:9" x14ac:dyDescent="0.3">
      <c r="A23" t="s">
        <v>18</v>
      </c>
      <c r="B23" t="s">
        <v>19</v>
      </c>
      <c r="D23">
        <v>30</v>
      </c>
      <c r="G23">
        <f t="shared" si="1"/>
        <v>180</v>
      </c>
    </row>
    <row r="24" spans="1:9" x14ac:dyDescent="0.3">
      <c r="A24" t="s">
        <v>18</v>
      </c>
      <c r="B24" t="s">
        <v>17</v>
      </c>
      <c r="D24">
        <v>3</v>
      </c>
      <c r="G24">
        <f t="shared" si="1"/>
        <v>18</v>
      </c>
    </row>
    <row r="25" spans="1:9" x14ac:dyDescent="0.3">
      <c r="A25" t="s">
        <v>18</v>
      </c>
      <c r="B25" t="s">
        <v>20</v>
      </c>
      <c r="D25">
        <v>5</v>
      </c>
      <c r="G25">
        <f t="shared" si="1"/>
        <v>30</v>
      </c>
    </row>
    <row r="26" spans="1:9" x14ac:dyDescent="0.3">
      <c r="A26" t="s">
        <v>21</v>
      </c>
      <c r="B26" t="s">
        <v>22</v>
      </c>
      <c r="D26">
        <v>4</v>
      </c>
      <c r="G26">
        <f t="shared" si="1"/>
        <v>24</v>
      </c>
    </row>
    <row r="27" spans="1:9" x14ac:dyDescent="0.3">
      <c r="A27" t="s">
        <v>23</v>
      </c>
      <c r="B27" t="s">
        <v>24</v>
      </c>
      <c r="D27">
        <v>12</v>
      </c>
      <c r="G27">
        <f t="shared" si="1"/>
        <v>72</v>
      </c>
    </row>
    <row r="28" spans="1:9" x14ac:dyDescent="0.3">
      <c r="A28" t="s">
        <v>25</v>
      </c>
      <c r="D28">
        <v>1</v>
      </c>
      <c r="G28">
        <f t="shared" si="1"/>
        <v>6</v>
      </c>
    </row>
    <row r="29" spans="1:9" x14ac:dyDescent="0.3">
      <c r="A29" t="s">
        <v>26</v>
      </c>
      <c r="D29">
        <v>2</v>
      </c>
      <c r="G29">
        <f t="shared" si="1"/>
        <v>12</v>
      </c>
    </row>
    <row r="31" spans="1:9" x14ac:dyDescent="0.3">
      <c r="A31" t="s">
        <v>27</v>
      </c>
      <c r="B31" t="s">
        <v>28</v>
      </c>
      <c r="F31">
        <v>2</v>
      </c>
      <c r="H31">
        <f>I31/F31</f>
        <v>116.52</v>
      </c>
      <c r="I31">
        <v>233.04</v>
      </c>
    </row>
    <row r="33" spans="1:9" x14ac:dyDescent="0.3">
      <c r="A33" t="s">
        <v>29</v>
      </c>
      <c r="D33">
        <v>1</v>
      </c>
      <c r="G33">
        <f>D33*$F$31</f>
        <v>2</v>
      </c>
    </row>
    <row r="34" spans="1:9" x14ac:dyDescent="0.3">
      <c r="A34" t="s">
        <v>15</v>
      </c>
      <c r="B34" t="s">
        <v>30</v>
      </c>
      <c r="D34">
        <v>2</v>
      </c>
      <c r="G34">
        <f t="shared" ref="G34:G37" si="2">D34*$F$31</f>
        <v>4</v>
      </c>
    </row>
    <row r="35" spans="1:9" x14ac:dyDescent="0.3">
      <c r="A35" t="s">
        <v>18</v>
      </c>
      <c r="B35" t="s">
        <v>19</v>
      </c>
      <c r="D35">
        <v>4</v>
      </c>
      <c r="G35">
        <f t="shared" si="2"/>
        <v>8</v>
      </c>
    </row>
    <row r="36" spans="1:9" x14ac:dyDescent="0.3">
      <c r="A36" t="s">
        <v>31</v>
      </c>
      <c r="D36">
        <v>1</v>
      </c>
      <c r="G36">
        <f t="shared" si="2"/>
        <v>2</v>
      </c>
    </row>
    <row r="37" spans="1:9" x14ac:dyDescent="0.3">
      <c r="A37" t="s">
        <v>32</v>
      </c>
      <c r="D37">
        <v>1</v>
      </c>
      <c r="G37">
        <f t="shared" si="2"/>
        <v>2</v>
      </c>
    </row>
    <row r="39" spans="1:9" x14ac:dyDescent="0.3">
      <c r="A39" t="s">
        <v>36</v>
      </c>
      <c r="B39" t="s">
        <v>37</v>
      </c>
      <c r="F39">
        <v>2</v>
      </c>
      <c r="H39">
        <f>I39/F39</f>
        <v>89.754999999999995</v>
      </c>
      <c r="I39">
        <v>179.51</v>
      </c>
    </row>
    <row r="41" spans="1:9" x14ac:dyDescent="0.3">
      <c r="A41" t="s">
        <v>34</v>
      </c>
      <c r="B41" t="s">
        <v>33</v>
      </c>
      <c r="D41">
        <v>1</v>
      </c>
      <c r="G41">
        <f>D41*$F$39</f>
        <v>2</v>
      </c>
    </row>
    <row r="42" spans="1:9" x14ac:dyDescent="0.3">
      <c r="A42" t="s">
        <v>15</v>
      </c>
      <c r="B42" t="s">
        <v>16</v>
      </c>
      <c r="D42">
        <v>1</v>
      </c>
      <c r="G42">
        <f t="shared" ref="G42:G43" si="3">D42*$F$31</f>
        <v>2</v>
      </c>
    </row>
    <row r="43" spans="1:9" x14ac:dyDescent="0.3">
      <c r="A43" t="s">
        <v>10</v>
      </c>
      <c r="D43">
        <v>4</v>
      </c>
      <c r="G43">
        <f t="shared" si="3"/>
        <v>8</v>
      </c>
    </row>
    <row r="45" spans="1:9" x14ac:dyDescent="0.3">
      <c r="A45" t="s">
        <v>39</v>
      </c>
      <c r="B45" t="s">
        <v>38</v>
      </c>
      <c r="F45">
        <v>2</v>
      </c>
      <c r="H45">
        <f>I45/F45</f>
        <v>89.754999999999995</v>
      </c>
      <c r="I45">
        <v>179.51</v>
      </c>
    </row>
    <row r="47" spans="1:9" x14ac:dyDescent="0.3">
      <c r="A47" t="s">
        <v>35</v>
      </c>
      <c r="D47">
        <v>2</v>
      </c>
      <c r="G47">
        <f>D47*$F$45</f>
        <v>4</v>
      </c>
    </row>
    <row r="48" spans="1:9" x14ac:dyDescent="0.3">
      <c r="A48" t="s">
        <v>15</v>
      </c>
      <c r="B48" t="s">
        <v>17</v>
      </c>
      <c r="D48">
        <v>2</v>
      </c>
      <c r="G48">
        <f t="shared" ref="G48:G49" si="4">D48*$F$31</f>
        <v>4</v>
      </c>
    </row>
    <row r="49" spans="1:9" x14ac:dyDescent="0.3">
      <c r="A49" t="s">
        <v>18</v>
      </c>
      <c r="B49" t="s">
        <v>19</v>
      </c>
      <c r="D49">
        <v>8</v>
      </c>
      <c r="G49">
        <f t="shared" si="4"/>
        <v>16</v>
      </c>
    </row>
    <row r="51" spans="1:9" x14ac:dyDescent="0.3">
      <c r="I51">
        <f>SUM(I31,I39,I45)</f>
        <v>592.05999999999995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5B718-E676-42C6-8CDA-0DBE008B6D49}">
  <dimension ref="A1:D46"/>
  <sheetViews>
    <sheetView tabSelected="1" topLeftCell="A37" workbookViewId="0">
      <selection activeCell="A41" sqref="A41"/>
    </sheetView>
  </sheetViews>
  <sheetFormatPr defaultRowHeight="16.2" x14ac:dyDescent="0.3"/>
  <cols>
    <col min="1" max="1" width="27.21875" bestFit="1" customWidth="1"/>
    <col min="2" max="2" width="10.44140625" bestFit="1" customWidth="1"/>
  </cols>
  <sheetData>
    <row r="1" spans="1:2" x14ac:dyDescent="0.3">
      <c r="A1" t="s">
        <v>0</v>
      </c>
      <c r="B1" t="s">
        <v>47</v>
      </c>
    </row>
    <row r="3" spans="1:2" x14ac:dyDescent="0.3">
      <c r="A3" s="3" t="s">
        <v>60</v>
      </c>
    </row>
    <row r="4" spans="1:2" x14ac:dyDescent="0.3">
      <c r="A4" s="3"/>
    </row>
    <row r="5" spans="1:2" x14ac:dyDescent="0.3">
      <c r="A5" s="4" t="s">
        <v>61</v>
      </c>
    </row>
    <row r="6" spans="1:2" x14ac:dyDescent="0.3">
      <c r="A6" s="4" t="s">
        <v>62</v>
      </c>
    </row>
    <row r="7" spans="1:2" x14ac:dyDescent="0.3">
      <c r="A7" s="4" t="s">
        <v>64</v>
      </c>
    </row>
    <row r="9" spans="1:2" x14ac:dyDescent="0.3">
      <c r="A9" s="2" t="s">
        <v>58</v>
      </c>
    </row>
    <row r="11" spans="1:2" x14ac:dyDescent="0.3">
      <c r="A11" t="s">
        <v>59</v>
      </c>
    </row>
    <row r="14" spans="1:2" x14ac:dyDescent="0.3">
      <c r="A14" s="2" t="s">
        <v>48</v>
      </c>
    </row>
    <row r="16" spans="1:2" x14ac:dyDescent="0.3">
      <c r="A16" t="s">
        <v>53</v>
      </c>
      <c r="B16" t="s">
        <v>54</v>
      </c>
    </row>
    <row r="17" spans="1:4" x14ac:dyDescent="0.3">
      <c r="B17" t="s">
        <v>55</v>
      </c>
    </row>
    <row r="18" spans="1:4" x14ac:dyDescent="0.3">
      <c r="A18" t="s">
        <v>52</v>
      </c>
      <c r="B18" t="s">
        <v>56</v>
      </c>
    </row>
    <row r="19" spans="1:4" x14ac:dyDescent="0.3">
      <c r="B19" t="s">
        <v>57</v>
      </c>
    </row>
    <row r="21" spans="1:4" x14ac:dyDescent="0.3">
      <c r="A21" s="2" t="s">
        <v>49</v>
      </c>
    </row>
    <row r="23" spans="1:4" x14ac:dyDescent="0.3">
      <c r="A23" t="s">
        <v>50</v>
      </c>
      <c r="D23" t="s">
        <v>76</v>
      </c>
    </row>
    <row r="24" spans="1:4" x14ac:dyDescent="0.3">
      <c r="A24" t="s">
        <v>51</v>
      </c>
    </row>
    <row r="25" spans="1:4" x14ac:dyDescent="0.3">
      <c r="A25" t="s">
        <v>63</v>
      </c>
      <c r="B25" t="s">
        <v>65</v>
      </c>
    </row>
    <row r="26" spans="1:4" x14ac:dyDescent="0.3">
      <c r="A26" t="s">
        <v>63</v>
      </c>
      <c r="B26" t="s">
        <v>66</v>
      </c>
    </row>
    <row r="27" spans="1:4" x14ac:dyDescent="0.3">
      <c r="A27" t="s">
        <v>63</v>
      </c>
      <c r="B27" t="s">
        <v>67</v>
      </c>
    </row>
    <row r="28" spans="1:4" x14ac:dyDescent="0.3">
      <c r="A28" t="s">
        <v>29</v>
      </c>
    </row>
    <row r="29" spans="1:4" x14ac:dyDescent="0.3">
      <c r="A29" t="s">
        <v>73</v>
      </c>
      <c r="B29" t="s">
        <v>74</v>
      </c>
    </row>
    <row r="30" spans="1:4" x14ac:dyDescent="0.3">
      <c r="A30" t="s">
        <v>75</v>
      </c>
    </row>
    <row r="32" spans="1:4" x14ac:dyDescent="0.3">
      <c r="A32" s="2" t="s">
        <v>71</v>
      </c>
    </row>
    <row r="34" spans="1:1" x14ac:dyDescent="0.3">
      <c r="A34" t="s">
        <v>68</v>
      </c>
    </row>
    <row r="38" spans="1:1" x14ac:dyDescent="0.3">
      <c r="A38" s="2" t="s">
        <v>69</v>
      </c>
    </row>
    <row r="40" spans="1:1" x14ac:dyDescent="0.3">
      <c r="A40" t="s">
        <v>70</v>
      </c>
    </row>
    <row r="41" spans="1:1" x14ac:dyDescent="0.3">
      <c r="A41" t="s">
        <v>77</v>
      </c>
    </row>
    <row r="42" spans="1:1" x14ac:dyDescent="0.3">
      <c r="A42" t="s">
        <v>31</v>
      </c>
    </row>
    <row r="43" spans="1:1" x14ac:dyDescent="0.3">
      <c r="A43" t="s">
        <v>31</v>
      </c>
    </row>
    <row r="46" spans="1:1" x14ac:dyDescent="0.3">
      <c r="A46" s="2" t="s">
        <v>72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EAC6C-0227-49F3-859E-A814EE2A4689}">
  <dimension ref="A1:G7"/>
  <sheetViews>
    <sheetView workbookViewId="0">
      <selection activeCell="D3" sqref="D3:D5"/>
    </sheetView>
  </sheetViews>
  <sheetFormatPr defaultRowHeight="16.2" x14ac:dyDescent="0.3"/>
  <cols>
    <col min="1" max="1" width="20.88671875" bestFit="1" customWidth="1"/>
    <col min="2" max="2" width="10.44140625" bestFit="1" customWidth="1"/>
  </cols>
  <sheetData>
    <row r="1" spans="1:7" x14ac:dyDescent="0.3">
      <c r="A1" t="s">
        <v>0</v>
      </c>
      <c r="B1" t="s">
        <v>46</v>
      </c>
    </row>
    <row r="3" spans="1:7" x14ac:dyDescent="0.3">
      <c r="A3" t="s">
        <v>40</v>
      </c>
      <c r="C3">
        <v>2</v>
      </c>
      <c r="D3">
        <f>E3/C3</f>
        <v>471.33499999999998</v>
      </c>
      <c r="E3">
        <v>942.67</v>
      </c>
    </row>
    <row r="4" spans="1:7" x14ac:dyDescent="0.3">
      <c r="A4" t="s">
        <v>41</v>
      </c>
      <c r="C4">
        <v>2</v>
      </c>
      <c r="D4">
        <f t="shared" ref="D4:D5" si="0">E4/C4</f>
        <v>247.74</v>
      </c>
      <c r="E4">
        <v>495.48</v>
      </c>
      <c r="G4" t="s">
        <v>42</v>
      </c>
    </row>
    <row r="5" spans="1:7" x14ac:dyDescent="0.3">
      <c r="A5" t="s">
        <v>43</v>
      </c>
      <c r="C5">
        <v>2</v>
      </c>
      <c r="D5">
        <f t="shared" si="0"/>
        <v>303.375</v>
      </c>
      <c r="E5">
        <v>606.75</v>
      </c>
      <c r="G5" s="1" t="s">
        <v>44</v>
      </c>
    </row>
    <row r="7" spans="1:7" x14ac:dyDescent="0.3">
      <c r="E7">
        <f>SUM(E3:E5)</f>
        <v>2044.9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64F47-6936-41C7-805F-7B34A6ED1E2B}">
  <dimension ref="A1:C7"/>
  <sheetViews>
    <sheetView workbookViewId="0">
      <selection activeCell="D6" sqref="D6"/>
    </sheetView>
  </sheetViews>
  <sheetFormatPr defaultRowHeight="16.2" x14ac:dyDescent="0.3"/>
  <sheetData>
    <row r="1" spans="1:3" x14ac:dyDescent="0.3">
      <c r="A1" t="s">
        <v>0</v>
      </c>
    </row>
    <row r="3" spans="1:3" x14ac:dyDescent="0.3">
      <c r="A3" t="s">
        <v>45</v>
      </c>
      <c r="C3">
        <f>學生入門!I51</f>
        <v>592.05999999999995</v>
      </c>
    </row>
    <row r="4" spans="1:3" x14ac:dyDescent="0.3">
      <c r="A4" t="s">
        <v>47</v>
      </c>
    </row>
    <row r="5" spans="1:3" x14ac:dyDescent="0.3">
      <c r="A5" t="s">
        <v>46</v>
      </c>
      <c r="C5">
        <f>展示!E7</f>
        <v>2044.9</v>
      </c>
    </row>
    <row r="7" spans="1:3" x14ac:dyDescent="0.3">
      <c r="C7">
        <f>SUM(C3:C5)</f>
        <v>2636.96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學生入門</vt:lpstr>
      <vt:lpstr>學生進深</vt:lpstr>
      <vt:lpstr>展示</vt:lpstr>
      <vt:lpstr>總數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TT</dc:creator>
  <cp:lastModifiedBy>TT</cp:lastModifiedBy>
  <dcterms:created xsi:type="dcterms:W3CDTF">2025-09-11T00:35:00Z</dcterms:created>
  <dcterms:modified xsi:type="dcterms:W3CDTF">2025-09-11T10:09:53Z</dcterms:modified>
</cp:coreProperties>
</file>