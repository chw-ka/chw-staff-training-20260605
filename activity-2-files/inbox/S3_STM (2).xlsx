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CM_Files\D_Drive\Carmel Holy Word\2024-2025\04_TechEd\HomeworkInspection\S3STM\"/>
    </mc:Choice>
  </mc:AlternateContent>
  <xr:revisionPtr revIDLastSave="0" documentId="13_ncr:1_{51487866-4B96-4112-BD83-CAAF6E722282}" xr6:coauthVersionLast="47" xr6:coauthVersionMax="47" xr10:uidLastSave="{00000000-0000-0000-0000-000000000000}"/>
  <bookViews>
    <workbookView xWindow="-109" yWindow="14563" windowWidth="26301" windowHeight="14169" activeTab="1" xr2:uid="{B051C332-1D40-422C-8A0B-A1B9370C19CE}"/>
  </bookViews>
  <sheets>
    <sheet name="工作表1" sheetId="1" r:id="rId1"/>
    <sheet name="HWInspection" sheetId="2" r:id="rId2"/>
  </sheets>
  <definedNames>
    <definedName name="_xlnm._FilterDatabase" localSheetId="1" hidden="1">HWInspection!$A$1:$V$66</definedName>
    <definedName name="_xlnm._FilterDatabase" localSheetId="0" hidden="1">工作表1!$A$2:$F$67</definedName>
    <definedName name="_xlnm.Print_Titles" localSheetId="0">工作表1!$1:$2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" i="2" l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60" i="2"/>
  <c r="G60" i="2" s="1"/>
  <c r="F59" i="2"/>
  <c r="G59" i="2" s="1"/>
  <c r="F58" i="2"/>
  <c r="G58" i="2" s="1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6" i="2"/>
  <c r="G46" i="2" s="1"/>
  <c r="F45" i="2"/>
  <c r="G45" i="2" s="1"/>
  <c r="F44" i="2"/>
  <c r="G44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F5" i="2"/>
  <c r="G5" i="2" s="1"/>
  <c r="F4" i="2"/>
  <c r="G4" i="2" s="1"/>
  <c r="F3" i="2"/>
  <c r="G3" i="2" s="1"/>
  <c r="F2" i="2"/>
  <c r="G2" i="2" s="1"/>
  <c r="F1" i="2"/>
</calcChain>
</file>

<file path=xl/sharedStrings.xml><?xml version="1.0" encoding="utf-8"?>
<sst xmlns="http://schemas.openxmlformats.org/spreadsheetml/2006/main" count="1064" uniqueCount="163">
  <si>
    <t>3A</t>
  </si>
  <si>
    <t>F</t>
  </si>
  <si>
    <t>陳楚森</t>
  </si>
  <si>
    <t>M</t>
  </si>
  <si>
    <t>陳力</t>
  </si>
  <si>
    <t>陳憫悅</t>
  </si>
  <si>
    <t>陳泳潼</t>
  </si>
  <si>
    <t>鄭煒昊</t>
  </si>
  <si>
    <t>趙晞楠</t>
  </si>
  <si>
    <t>莊子揚</t>
  </si>
  <si>
    <t>鍾善巧</t>
  </si>
  <si>
    <t>高舒雅</t>
  </si>
  <si>
    <t>郭曦煥</t>
  </si>
  <si>
    <t>康梓蕎</t>
  </si>
  <si>
    <t>華俊堯</t>
  </si>
  <si>
    <t>許恩綾</t>
  </si>
  <si>
    <t>洪煒源</t>
  </si>
  <si>
    <t>劉希信</t>
  </si>
  <si>
    <t>劉家貝</t>
  </si>
  <si>
    <t>梁展朗</t>
  </si>
  <si>
    <t>李莎</t>
  </si>
  <si>
    <t>梁譯方</t>
  </si>
  <si>
    <t>練肇銘</t>
  </si>
  <si>
    <t>劉沛然</t>
  </si>
  <si>
    <t>文為樂</t>
  </si>
  <si>
    <t>潘俊樺</t>
  </si>
  <si>
    <t>石心寧</t>
  </si>
  <si>
    <t>蘇玉婷</t>
  </si>
  <si>
    <t>孫子涵</t>
  </si>
  <si>
    <t>譚家家</t>
  </si>
  <si>
    <t>黃智星</t>
  </si>
  <si>
    <t>袁啓燊</t>
  </si>
  <si>
    <t>張奕名</t>
  </si>
  <si>
    <t>張嘉鋒</t>
  </si>
  <si>
    <t>張恩妍</t>
  </si>
  <si>
    <t>周天驕</t>
  </si>
  <si>
    <t>3B</t>
  </si>
  <si>
    <t>蔡梓錡</t>
  </si>
  <si>
    <t>曹芸</t>
  </si>
  <si>
    <t>周晉安</t>
  </si>
  <si>
    <t>趙紫琰</t>
  </si>
  <si>
    <t>余佩恩</t>
  </si>
  <si>
    <t>葉渝揚</t>
  </si>
  <si>
    <t>高林晴</t>
  </si>
  <si>
    <t>賴兆鴻</t>
  </si>
  <si>
    <t>林柏晞</t>
  </si>
  <si>
    <t>羅卓言</t>
  </si>
  <si>
    <t>羅浩鋒</t>
  </si>
  <si>
    <t>李凱晴</t>
  </si>
  <si>
    <t>李曉潼</t>
  </si>
  <si>
    <t>劉紫兒</t>
  </si>
  <si>
    <t>羅子翀</t>
  </si>
  <si>
    <t>陸漪</t>
  </si>
  <si>
    <t>馬雨桐</t>
  </si>
  <si>
    <t>吳鎧澄</t>
  </si>
  <si>
    <t>吳瑋琪</t>
  </si>
  <si>
    <t>吳穎琳</t>
  </si>
  <si>
    <t>潘俊霖</t>
  </si>
  <si>
    <t>宋柏熹</t>
  </si>
  <si>
    <t>鄧皓碩</t>
  </si>
  <si>
    <t>鄧樂峰</t>
  </si>
  <si>
    <t>唐御珈</t>
  </si>
  <si>
    <t>王郁唯</t>
  </si>
  <si>
    <t>胡逸</t>
  </si>
  <si>
    <t>葉紀嫣</t>
  </si>
  <si>
    <t>葉獻頌</t>
  </si>
  <si>
    <t>張馨尹</t>
  </si>
  <si>
    <t>仲恩滿</t>
  </si>
  <si>
    <t>周君岳</t>
  </si>
  <si>
    <t>學生編號</t>
    <phoneticPr fontId="1" type="noConversion"/>
  </si>
  <si>
    <t>班別</t>
    <phoneticPr fontId="1" type="noConversion"/>
  </si>
  <si>
    <t>學號</t>
    <phoneticPr fontId="1" type="noConversion"/>
  </si>
  <si>
    <t>姓名</t>
    <phoneticPr fontId="1" type="noConversion"/>
  </si>
  <si>
    <t>性別</t>
    <phoneticPr fontId="1" type="noConversion"/>
  </si>
  <si>
    <t>MindMap</t>
    <phoneticPr fontId="1" type="noConversion"/>
  </si>
  <si>
    <t>工作紙三</t>
    <phoneticPr fontId="1" type="noConversion"/>
  </si>
  <si>
    <t>ABS</t>
    <phoneticPr fontId="1" type="noConversion"/>
  </si>
  <si>
    <t>智能垃圾桶第一課程式碼</t>
  </si>
  <si>
    <t xml:space="preserve">delay(5000);myServo.write(90); not found
</t>
  </si>
  <si>
    <t xml:space="preserve">Serial.println("Enter an integer angle between 0 and 180:"); not found
int angle = Serial.parseInt(); not found
if (angle &gt;= 0 &amp;&amp; angle &lt;= 180) { not found
delay(5000);myServo.write(90); not found
</t>
  </si>
  <si>
    <t xml:space="preserve">if (angle &gt;= 0 &amp;&amp; angle &lt;= 180) { not found
delay(5000);myServo.write(90); not found
</t>
  </si>
  <si>
    <t xml:space="preserve">if (angle &gt;= 0 &amp;&amp; angle &lt;= 180) { not found
Serial.print("Moved to angle: "); not found
delay(5000);myServo.write(90); not found
</t>
  </si>
  <si>
    <t xml:space="preserve">Serial.println("Enter an integer angle between 0 and 180:"); not found
if (angle &gt;= 0 &amp;&amp; angle &lt;= 180) { not found
Serial.print("Moved to angle: "); not found
delay(5000);myServo.write(90); not found
</t>
  </si>
  <si>
    <t xml:space="preserve">int angle = Serial.parseInt(); not found
Serial.print("Moved to angle: "); not found
while (Serial.available() &gt; 0) { not found
delay(5000);myServo.write(90); not found
</t>
  </si>
  <si>
    <t xml:space="preserve">int angle = Serial.parseInt(); not found
Serial.println("Invalid angle. Please enter an integer angle between 0 and 180."); not found
delay(5000);myServo.write(90); not found
</t>
  </si>
  <si>
    <t xml:space="preserve">if (angle &gt;= 0 &amp;&amp; angle &lt;= 180) { not found
Serial.print("Moved to angle: "); not found
Serial.println("Invalid angle. Please enter an integer angle between 0 and 180."); not found
delay(5000);myServo.write(90); not found
</t>
  </si>
  <si>
    <t xml:space="preserve">int angle = Serial.parseInt(); not found
if (angle &gt;= 0 &amp;&amp; angle &lt;= 180) { not found
Serial.print("Moved to angle: "); not found
Serial.println("Invalid angle. Please enter an integer angle between 0 and 180."); not found
delay(5000);myServo.write(90); not found
</t>
  </si>
  <si>
    <t xml:space="preserve">Serial.print("Moved to angle: "); not found
Serial.println("Invalid angle. Please enter an integer angle between 0 and 180."); not found
delay(5000);myServo.write(90); not found
</t>
  </si>
  <si>
    <t xml:space="preserve">Serial.println("Enter an integer angle between 0 and 180:"); not found
int angle = Serial.parseInt(); not found
if (angle &gt;= 0 &amp;&amp; angle &lt;= 180) { not found
Serial.println(angle); not found
Serial.println("Invalid angle. Please enter an integer angle between 0 and 180."); not found
delay(5000);myServo.write(90); not found
</t>
  </si>
  <si>
    <t xml:space="preserve">int angle = Serial.parseInt(); not found
if (angle &gt;= 0 &amp;&amp; angle &lt;= 180) { not found
Serial.print("Moved to angle: "); not found
Serial.println("Invalid angle. Please enter an integer angle between 0 and 180."); not found
while (Serial.available() &gt; 0) { not found
delay(5000);myServo.write(90); not found
</t>
  </si>
  <si>
    <t xml:space="preserve">servo.write(angle); not found
Serial.println("Invalid angle. Please enter an integer angle between 0 and 180."); not found
</t>
  </si>
  <si>
    <t xml:space="preserve">int angle = Serial.parseInt(); not found
delay(5000);myServo.write(90); not found
</t>
  </si>
  <si>
    <t xml:space="preserve">Serial.println("Enter an integer angle between 0 and 180:"); not found
if (angle &gt;= 0 &amp;&amp; angle &lt;= 180) { not found
</t>
  </si>
  <si>
    <t xml:space="preserve">Serial.println("Enter an integer angle between 0 and 180:"); not found
if (angle &gt;= 0 &amp;&amp; angle &lt;= 180) { not found
Serial.println(angle); not found
Serial.println("Invalid angle. Please enter an integer angle between 0 and 180."); not found
</t>
  </si>
  <si>
    <t xml:space="preserve">Serial.println("Enter an integer angle between 0 and 180:"); not found
int angle = Serial.parseInt(); not found
if (angle &gt;= 0 &amp;&amp; angle &lt;= 180) { not found
Serial.print("Moved to angle: "); not found
Serial.println(angle); not found
Serial.println("Invalid angle. Please enter an integer angle between 0 and 180."); not found
while (Serial.available() &gt; 0) { not found
delay(5000);myServo.write(90); not found
</t>
  </si>
  <si>
    <t xml:space="preserve">Serial.println("Enter an integer angle between 0 and 180:"); not found
int angle = Serial.parseInt(); not found
if (angle &gt;= 0 &amp;&amp; angle &lt;= 180) { not found
Serial.print("Moved to angle: "); not found
Serial.println(angle); not found
Serial.println("Invalid angle. Please enter an integer angle between 0 and 180."); not found
delay(5000);myServo.write(90); not found
</t>
  </si>
  <si>
    <t xml:space="preserve">if (angle &gt;= 0 &amp;&amp; angle &lt;= 180) { not found
Serial.println("Invalid angle. Please enter an integer angle between 0 and 180."); not found
delay(5000);myServo.write(90); not found
</t>
  </si>
  <si>
    <t xml:space="preserve">Serial.print("Moved to angle: "); not found
delay(5000);myServo.write(90); not found
</t>
  </si>
  <si>
    <t xml:space="preserve">if (angle &gt;= 0 &amp;&amp; angle &lt;= 180) { not found
</t>
  </si>
  <si>
    <t xml:space="preserve">if (angle &gt;= 0 &amp;&amp; angle &lt;= 180) { not found
Serial.println("Invalid angle. Please enter an integer angle between 0 and 180."); not found
</t>
  </si>
  <si>
    <t xml:space="preserve">Serial.println("Enter an integer angle between 0 and 180:"); not found
servo.write(angle); not found
delay(5000);myServo.write(90); not found
</t>
  </si>
  <si>
    <t>智能時鐘：第一堂程式碼</t>
  </si>
  <si>
    <t xml:space="preserve">matrix.setRotation(1); not found
matrix.setBrightness(5); not found
matrix.fillScreen(0); not found
</t>
  </si>
  <si>
    <t xml:space="preserve">matrix.fillScreen(0); not found
</t>
  </si>
  <si>
    <t xml:space="preserve">matrix.setRotation(1); not found
</t>
  </si>
  <si>
    <t xml:space="preserve">matrix.setRotation(1); not found
matrix.setBrightness(5); not found
matrix.fillScreen(0); not found
matrix.print(text); not found
matrix.show(); not found
</t>
  </si>
  <si>
    <t xml:space="preserve">Serial.begin(9600); not found
matrix.setBrightness(5); not found
matrix.fillScreen(0); not found
</t>
  </si>
  <si>
    <t xml:space="preserve">matrix.setRotation(1); not found
matrix.setBrightness(5); not found
matrix.fillScreen(0); not found
matrix.show(); not found
</t>
  </si>
  <si>
    <t xml:space="preserve">Serial.begin(9600); not found
matrix.begin(); not found
matrix_print(t); not found
delay(1000); not found
matrix.setRotation(1); not found
matrix.setBrightness(5); not found
matrix.fillScreen(0); not found
matrix.print(text); not found
matrix.show(); not found
</t>
  </si>
  <si>
    <t xml:space="preserve">matrix.setBrightness(5); not found
matrix.fillScreen(0); not found
</t>
  </si>
  <si>
    <t xml:space="preserve">Serial.begin(9600); not found
matrix.fillScreen(0); not found
</t>
  </si>
  <si>
    <t xml:space="preserve">Serial.begin(9600); not found
delay(1000); not found
matrix.setRotation(1); not found
matrix.setBrightness(5); not found
matrix.fillScreen(0); not found
</t>
  </si>
  <si>
    <t xml:space="preserve">matrix.setRotation(1); not found
matrix.fillScreen(0); not found
</t>
  </si>
  <si>
    <t xml:space="preserve">matrix.begin(); not found
</t>
  </si>
  <si>
    <t xml:space="preserve">matrix.show(); not found
</t>
  </si>
  <si>
    <t xml:space="preserve">matrix.print(text); not found
</t>
  </si>
  <si>
    <t xml:space="preserve">matrix.begin(); not found
matrix.fillScreen(0); not found
</t>
  </si>
  <si>
    <t xml:space="preserve">delay(1000); not found
matrix.setBrightness(5); not found
</t>
  </si>
  <si>
    <t>垃圾桶</t>
    <phoneticPr fontId="1" type="noConversion"/>
  </si>
  <si>
    <t>時鐘一</t>
    <phoneticPr fontId="1" type="noConversion"/>
  </si>
  <si>
    <t>時鐘二</t>
    <phoneticPr fontId="1" type="noConversion"/>
  </si>
  <si>
    <t>時鐘三</t>
    <phoneticPr fontId="1" type="noConversion"/>
  </si>
  <si>
    <t>時鐘四</t>
    <phoneticPr fontId="1" type="noConversion"/>
  </si>
  <si>
    <t>智能時鐘：第二堂程式碼</t>
  </si>
  <si>
    <t xml:space="preserve">String t = call_time(); not found
</t>
  </si>
  <si>
    <t xml:space="preserve">Rtc.Begin(); not found
String t = call_time(); not found
</t>
  </si>
  <si>
    <t xml:space="preserve">Rtc.Begin(); not found
</t>
  </si>
  <si>
    <t>智能時鐘：第三堂程式碼</t>
  </si>
  <si>
    <t xml:space="preserve">byte temperature = 0; not found
dht11.read(2, &amp;temperature, NULL, NULL); not found
</t>
  </si>
  <si>
    <t xml:space="preserve">dht11.read(2, NULL, &amp;humidity, NULL); not found
</t>
  </si>
  <si>
    <t xml:space="preserve">byte humidity = 0; not found
dht11.read(2, NULL, &amp;humidity, NULL); not found
</t>
  </si>
  <si>
    <t xml:space="preserve">byte temperature = 0; not found
byte humidity = 0; not found
</t>
  </si>
  <si>
    <t xml:space="preserve">dht11.read(2, &amp;temperature, NULL, NULL); not found
</t>
  </si>
  <si>
    <t xml:space="preserve">byte humidity = 0; not found
</t>
  </si>
  <si>
    <t xml:space="preserve">byte temperature = 0; not found
</t>
  </si>
  <si>
    <t xml:space="preserve">dht11.read(2, &amp;temperature, NULL, NULL); not found
dht11.read(2, NULL, &amp;humidity, NULL); not found
</t>
  </si>
  <si>
    <t xml:space="preserve">byte temperature = 0; not found
dht11.read(2, &amp;temperature, NULL, NULL); not found
byte humidity = 0; not found
dht11.read(2, NULL, &amp;humidity, NULL); not found
</t>
  </si>
  <si>
    <t xml:space="preserve">dht11.read(2, &amp;temperature, NULL, NULL); not found
byte humidity = 0; not found
dht11.read(2, NULL, &amp;humidity, NULL); not found
</t>
  </si>
  <si>
    <t xml:space="preserve">byte temperature = 0; not found
dht11.read(2, &amp;temperature, NULL, NULL); not found
dht11.read(2, NULL, &amp;humidity, NULL); not found
</t>
  </si>
  <si>
    <t xml:space="preserve">byte temperature = 0; not found
byte humidity = 0; not found
dht11.read(2, NULL, &amp;humidity, NULL); not found
</t>
  </si>
  <si>
    <t>智能時鐘：第四堂程式碼</t>
  </si>
  <si>
    <t xml:space="preserve">Serial.println(sensor.getValue()); not found
</t>
  </si>
  <si>
    <t xml:space="preserve">AirQualitySensor sensor(A0); not found
sensor.init() not found
Serial.println(sensor.getValue()); not found
</t>
  </si>
  <si>
    <t xml:space="preserve">sensor.slope(); not found
</t>
  </si>
  <si>
    <t xml:space="preserve">sensor.slope(); not found
Serial.println(sensor.getValue()); not found
</t>
  </si>
  <si>
    <t xml:space="preserve">#include "Air_Quality_Sensor.h" not found
AirQualitySensor sensor(A0); not found
sensor.init() not found
call_air(); not found
sensor.slope(); not found
Serial.println(sensor.getValue()); not found
</t>
  </si>
  <si>
    <t xml:space="preserve">#include "Air_Quality_Sensor.h" not found
AirQualitySensor sensor(A0); not found
Serial.println(sensor.getValue()); not found
</t>
  </si>
  <si>
    <t xml:space="preserve">AirQualitySensor sensor(A0); not found
</t>
  </si>
  <si>
    <t xml:space="preserve">AirQualitySensor sensor(A0); not found
Serial.println(sensor.getValue()); not found
</t>
  </si>
  <si>
    <t xml:space="preserve">#include "Air_Quality_Sensor.h" not found
AirQualitySensor sensor(A0); not found
sensor.init() not found
Serial.println(sensor.getValue()); not found
</t>
  </si>
  <si>
    <t xml:space="preserve">AirQualitySensor sensor(A0); not found
sensor.init() not found
sensor.slope(); not found
Serial.println(sensor.getValue()); not found
</t>
  </si>
  <si>
    <t xml:space="preserve">#include "Air_Quality_Sensor.h" not found
AirQualitySensor sensor(A0); not found
sensor.slope(); not found
Serial.println(sensor.getValue()); not found
</t>
  </si>
  <si>
    <t xml:space="preserve">#include "Air_Quality_Sensor.h" not found
Serial.println(sensor.getValue()); not found
</t>
  </si>
  <si>
    <t xml:space="preserve">AirQualitySensor sensor(A0); not found
sensor.slope(); not found
Serial.println(sensor.getValue()); not found
</t>
  </si>
  <si>
    <t>評語一</t>
    <phoneticPr fontId="1" type="noConversion"/>
  </si>
  <si>
    <t>評語二</t>
    <phoneticPr fontId="1" type="noConversion"/>
  </si>
  <si>
    <t>評語三</t>
    <phoneticPr fontId="1" type="noConversion"/>
  </si>
  <si>
    <t>評語四</t>
    <phoneticPr fontId="1" type="noConversion"/>
  </si>
  <si>
    <t>評語五</t>
    <phoneticPr fontId="1" type="noConversion"/>
  </si>
  <si>
    <t>請盡快補交</t>
  </si>
  <si>
    <t>請盡快補交</t>
    <phoneticPr fontId="1" type="noConversion"/>
  </si>
  <si>
    <t>Well Done!!</t>
  </si>
  <si>
    <t>Well Done!!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</si>
</sst>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2">
    <cellStyle name="一般" xfId="0" builtinId="0"/>
    <cellStyle name="一般 2" xfId="1" xr:uid="{B1573433-D8FC-4953-8B54-064DB9E85531}"/>
  </cellStyles>
  <dxfs count="2"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70A4-A3B2-4A84-B73B-5D282A59F84F}">
  <dimension ref="A1:G67"/>
  <sheetViews>
    <sheetView view="pageBreakPreview" zoomScale="85" zoomScaleNormal="100" zoomScaleSheetLayoutView="85" workbookViewId="0">
      <selection sqref="A1:E1048576"/>
    </sheetView>
  </sheetViews>
  <sheetFormatPr defaultColWidth="12.125" defaultRowHeight="17"/>
  <cols>
    <col min="1" max="16384" width="12.125" style="1"/>
  </cols>
  <sheetData>
    <row r="1" spans="1:7">
      <c r="F1" s="1" t="s">
        <v>74</v>
      </c>
      <c r="G1" s="1" t="s">
        <v>75</v>
      </c>
    </row>
    <row r="2" spans="1:7">
      <c r="A2" s="1" t="s">
        <v>69</v>
      </c>
      <c r="B2" s="1" t="s">
        <v>70</v>
      </c>
      <c r="C2" s="1" t="s">
        <v>71</v>
      </c>
      <c r="D2" s="1" t="s">
        <v>72</v>
      </c>
      <c r="E2" s="1" t="s">
        <v>73</v>
      </c>
      <c r="F2" s="1">
        <v>10</v>
      </c>
      <c r="G2" s="1">
        <v>22</v>
      </c>
    </row>
    <row r="3" spans="1:7">
      <c r="A3" s="1">
        <v>22001</v>
      </c>
      <c r="B3" s="1" t="s">
        <v>0</v>
      </c>
      <c r="C3" s="1">
        <v>1</v>
      </c>
      <c r="D3" s="1" t="s">
        <v>2</v>
      </c>
      <c r="E3" s="1" t="s">
        <v>3</v>
      </c>
      <c r="F3" s="1">
        <v>10</v>
      </c>
      <c r="G3" s="1">
        <v>17</v>
      </c>
    </row>
    <row r="4" spans="1:7">
      <c r="A4" s="1">
        <v>21118</v>
      </c>
      <c r="B4" s="1" t="s">
        <v>0</v>
      </c>
      <c r="C4" s="1">
        <v>2</v>
      </c>
      <c r="D4" s="1" t="s">
        <v>4</v>
      </c>
      <c r="E4" s="1" t="s">
        <v>3</v>
      </c>
      <c r="F4" s="1">
        <v>10</v>
      </c>
      <c r="G4" s="1" t="s">
        <v>76</v>
      </c>
    </row>
    <row r="5" spans="1:7">
      <c r="A5" s="1">
        <v>22002</v>
      </c>
      <c r="B5" s="1" t="s">
        <v>0</v>
      </c>
      <c r="C5" s="1">
        <v>3</v>
      </c>
      <c r="D5" s="1" t="s">
        <v>5</v>
      </c>
      <c r="E5" s="1" t="s">
        <v>1</v>
      </c>
      <c r="G5" s="1">
        <v>6</v>
      </c>
    </row>
    <row r="6" spans="1:7">
      <c r="A6" s="1">
        <v>22003</v>
      </c>
      <c r="B6" s="1" t="s">
        <v>0</v>
      </c>
      <c r="C6" s="1">
        <v>4</v>
      </c>
      <c r="D6" s="1" t="s">
        <v>6</v>
      </c>
      <c r="E6" s="1" t="s">
        <v>1</v>
      </c>
      <c r="F6" s="1">
        <v>10</v>
      </c>
      <c r="G6" s="1">
        <v>16</v>
      </c>
    </row>
    <row r="7" spans="1:7">
      <c r="A7" s="1">
        <v>22004</v>
      </c>
      <c r="B7" s="1" t="s">
        <v>0</v>
      </c>
      <c r="C7" s="1">
        <v>5</v>
      </c>
      <c r="D7" s="1" t="s">
        <v>7</v>
      </c>
      <c r="E7" s="1" t="s">
        <v>3</v>
      </c>
      <c r="F7" s="1">
        <v>10</v>
      </c>
      <c r="G7" s="1">
        <v>5</v>
      </c>
    </row>
    <row r="8" spans="1:7">
      <c r="A8" s="1">
        <v>22005</v>
      </c>
      <c r="B8" s="1" t="s">
        <v>0</v>
      </c>
      <c r="C8" s="1">
        <v>6</v>
      </c>
      <c r="D8" s="1" t="s">
        <v>8</v>
      </c>
      <c r="E8" s="1" t="s">
        <v>3</v>
      </c>
      <c r="F8" s="1">
        <v>10</v>
      </c>
      <c r="G8" s="1">
        <v>19</v>
      </c>
    </row>
    <row r="9" spans="1:7">
      <c r="A9" s="1">
        <v>24131</v>
      </c>
      <c r="B9" s="1" t="s">
        <v>0</v>
      </c>
      <c r="C9" s="1">
        <v>7</v>
      </c>
      <c r="D9" s="1" t="s">
        <v>9</v>
      </c>
      <c r="E9" s="1" t="s">
        <v>3</v>
      </c>
      <c r="F9" s="1">
        <v>10</v>
      </c>
      <c r="G9" s="1">
        <v>19</v>
      </c>
    </row>
    <row r="10" spans="1:7">
      <c r="A10" s="1">
        <v>22006</v>
      </c>
      <c r="B10" s="1" t="s">
        <v>0</v>
      </c>
      <c r="C10" s="1">
        <v>8</v>
      </c>
      <c r="D10" s="1" t="s">
        <v>10</v>
      </c>
      <c r="E10" s="1" t="s">
        <v>1</v>
      </c>
      <c r="F10" s="1">
        <v>10</v>
      </c>
      <c r="G10" s="1">
        <v>19</v>
      </c>
    </row>
    <row r="11" spans="1:7">
      <c r="A11" s="1">
        <v>22007</v>
      </c>
      <c r="B11" s="1" t="s">
        <v>0</v>
      </c>
      <c r="C11" s="1">
        <v>9</v>
      </c>
      <c r="D11" s="1" t="s">
        <v>11</v>
      </c>
      <c r="E11" s="1" t="s">
        <v>1</v>
      </c>
      <c r="F11" s="1">
        <v>10</v>
      </c>
      <c r="G11" s="1">
        <v>16</v>
      </c>
    </row>
    <row r="12" spans="1:7">
      <c r="A12" s="1">
        <v>22008</v>
      </c>
      <c r="B12" s="1" t="s">
        <v>0</v>
      </c>
      <c r="C12" s="1">
        <v>10</v>
      </c>
      <c r="D12" s="1" t="s">
        <v>12</v>
      </c>
      <c r="E12" s="1" t="s">
        <v>1</v>
      </c>
      <c r="F12" s="1">
        <v>10</v>
      </c>
      <c r="G12" s="1">
        <v>19</v>
      </c>
    </row>
    <row r="13" spans="1:7">
      <c r="A13" s="1">
        <v>21005</v>
      </c>
      <c r="B13" s="1" t="s">
        <v>0</v>
      </c>
      <c r="C13" s="1">
        <v>11</v>
      </c>
      <c r="D13" s="1" t="s">
        <v>13</v>
      </c>
      <c r="E13" s="1" t="s">
        <v>1</v>
      </c>
      <c r="F13" s="1">
        <v>10</v>
      </c>
      <c r="G13" s="1">
        <v>18</v>
      </c>
    </row>
    <row r="14" spans="1:7">
      <c r="A14" s="1">
        <v>22009</v>
      </c>
      <c r="B14" s="1" t="s">
        <v>0</v>
      </c>
      <c r="C14" s="1">
        <v>12</v>
      </c>
      <c r="D14" s="1" t="s">
        <v>14</v>
      </c>
      <c r="E14" s="1" t="s">
        <v>3</v>
      </c>
      <c r="F14" s="1">
        <v>10</v>
      </c>
      <c r="G14" s="1">
        <v>9</v>
      </c>
    </row>
    <row r="15" spans="1:7">
      <c r="A15" s="1">
        <v>22010</v>
      </c>
      <c r="B15" s="1" t="s">
        <v>0</v>
      </c>
      <c r="C15" s="1">
        <v>13</v>
      </c>
      <c r="D15" s="1" t="s">
        <v>15</v>
      </c>
      <c r="E15" s="1" t="s">
        <v>1</v>
      </c>
      <c r="F15" s="1">
        <v>10</v>
      </c>
      <c r="G15" s="1">
        <v>19</v>
      </c>
    </row>
    <row r="16" spans="1:7">
      <c r="A16" s="1">
        <v>22011</v>
      </c>
      <c r="B16" s="1" t="s">
        <v>0</v>
      </c>
      <c r="C16" s="1">
        <v>14</v>
      </c>
      <c r="D16" s="1" t="s">
        <v>16</v>
      </c>
      <c r="E16" s="1" t="s">
        <v>3</v>
      </c>
      <c r="F16" s="1">
        <v>10</v>
      </c>
      <c r="G16" s="1">
        <v>20</v>
      </c>
    </row>
    <row r="17" spans="1:7">
      <c r="A17" s="1">
        <v>22012</v>
      </c>
      <c r="B17" s="1" t="s">
        <v>0</v>
      </c>
      <c r="C17" s="1">
        <v>15</v>
      </c>
      <c r="D17" s="1" t="s">
        <v>17</v>
      </c>
      <c r="E17" s="1" t="s">
        <v>3</v>
      </c>
      <c r="F17" s="1">
        <v>10</v>
      </c>
      <c r="G17" s="1">
        <v>17</v>
      </c>
    </row>
    <row r="18" spans="1:7">
      <c r="A18" s="1">
        <v>22013</v>
      </c>
      <c r="B18" s="1" t="s">
        <v>0</v>
      </c>
      <c r="C18" s="1">
        <v>16</v>
      </c>
      <c r="D18" s="1" t="s">
        <v>18</v>
      </c>
      <c r="E18" s="1" t="s">
        <v>1</v>
      </c>
      <c r="F18" s="1">
        <v>10</v>
      </c>
      <c r="G18" s="1">
        <v>18</v>
      </c>
    </row>
    <row r="19" spans="1:7">
      <c r="A19" s="1">
        <v>22014</v>
      </c>
      <c r="B19" s="1" t="s">
        <v>0</v>
      </c>
      <c r="C19" s="1">
        <v>17</v>
      </c>
      <c r="D19" s="1" t="s">
        <v>19</v>
      </c>
      <c r="E19" s="1" t="s">
        <v>3</v>
      </c>
      <c r="F19" s="1">
        <v>10</v>
      </c>
      <c r="G19" s="1">
        <v>14</v>
      </c>
    </row>
    <row r="20" spans="1:7">
      <c r="A20" s="1">
        <v>22016</v>
      </c>
      <c r="B20" s="1" t="s">
        <v>0</v>
      </c>
      <c r="C20" s="1">
        <v>18</v>
      </c>
      <c r="D20" s="1" t="s">
        <v>20</v>
      </c>
      <c r="E20" s="1" t="s">
        <v>1</v>
      </c>
      <c r="F20" s="1">
        <v>10</v>
      </c>
      <c r="G20" s="1">
        <v>15</v>
      </c>
    </row>
    <row r="21" spans="1:7">
      <c r="A21" s="1">
        <v>22018</v>
      </c>
      <c r="B21" s="1" t="s">
        <v>0</v>
      </c>
      <c r="C21" s="1">
        <v>19</v>
      </c>
      <c r="D21" s="1" t="s">
        <v>21</v>
      </c>
      <c r="E21" s="1" t="s">
        <v>1</v>
      </c>
      <c r="F21" s="1">
        <v>10</v>
      </c>
      <c r="G21" s="1">
        <v>16</v>
      </c>
    </row>
    <row r="22" spans="1:7">
      <c r="A22" s="1">
        <v>22020</v>
      </c>
      <c r="B22" s="1" t="s">
        <v>0</v>
      </c>
      <c r="C22" s="1">
        <v>20</v>
      </c>
      <c r="D22" s="1" t="s">
        <v>22</v>
      </c>
      <c r="E22" s="1" t="s">
        <v>3</v>
      </c>
      <c r="F22" s="1">
        <v>10</v>
      </c>
      <c r="G22" s="1">
        <v>11</v>
      </c>
    </row>
    <row r="23" spans="1:7">
      <c r="A23" s="1">
        <v>22021</v>
      </c>
      <c r="B23" s="1" t="s">
        <v>0</v>
      </c>
      <c r="C23" s="1">
        <v>21</v>
      </c>
      <c r="D23" s="1" t="s">
        <v>23</v>
      </c>
      <c r="E23" s="1" t="s">
        <v>1</v>
      </c>
      <c r="F23" s="1">
        <v>10</v>
      </c>
      <c r="G23" s="1">
        <v>16</v>
      </c>
    </row>
    <row r="24" spans="1:7">
      <c r="A24" s="1">
        <v>22023</v>
      </c>
      <c r="B24" s="1" t="s">
        <v>0</v>
      </c>
      <c r="C24" s="1">
        <v>22</v>
      </c>
      <c r="D24" s="1" t="s">
        <v>24</v>
      </c>
      <c r="E24" s="1" t="s">
        <v>1</v>
      </c>
      <c r="F24" s="1">
        <v>5</v>
      </c>
      <c r="G24" s="1">
        <v>15</v>
      </c>
    </row>
    <row r="25" spans="1:7">
      <c r="A25" s="1">
        <v>24125</v>
      </c>
      <c r="B25" s="1" t="s">
        <v>0</v>
      </c>
      <c r="C25" s="1">
        <v>23</v>
      </c>
      <c r="D25" s="1" t="s">
        <v>25</v>
      </c>
      <c r="E25" s="1" t="s">
        <v>3</v>
      </c>
      <c r="F25" s="1">
        <v>5</v>
      </c>
      <c r="G25" s="2">
        <v>18</v>
      </c>
    </row>
    <row r="26" spans="1:7">
      <c r="A26" s="1">
        <v>20051</v>
      </c>
      <c r="B26" s="1" t="s">
        <v>0</v>
      </c>
      <c r="C26" s="1">
        <v>24</v>
      </c>
      <c r="D26" s="1" t="s">
        <v>26</v>
      </c>
      <c r="E26" s="1" t="s">
        <v>1</v>
      </c>
      <c r="G26" s="1" t="s">
        <v>76</v>
      </c>
    </row>
    <row r="27" spans="1:7">
      <c r="A27" s="1">
        <v>22025</v>
      </c>
      <c r="B27" s="1" t="s">
        <v>0</v>
      </c>
      <c r="C27" s="1">
        <v>25</v>
      </c>
      <c r="D27" s="1" t="s">
        <v>27</v>
      </c>
      <c r="E27" s="1" t="s">
        <v>1</v>
      </c>
      <c r="F27" s="1">
        <v>5</v>
      </c>
      <c r="G27" s="1">
        <v>18</v>
      </c>
    </row>
    <row r="28" spans="1:7">
      <c r="A28" s="1">
        <v>22026</v>
      </c>
      <c r="B28" s="1" t="s">
        <v>0</v>
      </c>
      <c r="C28" s="1">
        <v>26</v>
      </c>
      <c r="D28" s="1" t="s">
        <v>28</v>
      </c>
      <c r="E28" s="1" t="s">
        <v>3</v>
      </c>
      <c r="F28" s="1">
        <v>10</v>
      </c>
      <c r="G28" s="1">
        <v>12</v>
      </c>
    </row>
    <row r="29" spans="1:7">
      <c r="A29" s="1">
        <v>22027</v>
      </c>
      <c r="B29" s="1" t="s">
        <v>0</v>
      </c>
      <c r="C29" s="1">
        <v>27</v>
      </c>
      <c r="D29" s="1" t="s">
        <v>29</v>
      </c>
      <c r="E29" s="1" t="s">
        <v>1</v>
      </c>
      <c r="F29" s="1">
        <v>10</v>
      </c>
      <c r="G29" s="1">
        <v>12</v>
      </c>
    </row>
    <row r="30" spans="1:7">
      <c r="A30" s="1">
        <v>22028</v>
      </c>
      <c r="B30" s="1" t="s">
        <v>0</v>
      </c>
      <c r="C30" s="1">
        <v>28</v>
      </c>
      <c r="D30" s="1" t="s">
        <v>30</v>
      </c>
      <c r="E30" s="1" t="s">
        <v>3</v>
      </c>
      <c r="F30" s="1">
        <v>10</v>
      </c>
      <c r="G30" s="1">
        <v>14</v>
      </c>
    </row>
    <row r="31" spans="1:7">
      <c r="A31" s="1">
        <v>22029</v>
      </c>
      <c r="B31" s="1" t="s">
        <v>0</v>
      </c>
      <c r="C31" s="1">
        <v>29</v>
      </c>
      <c r="D31" s="1" t="s">
        <v>31</v>
      </c>
      <c r="E31" s="1" t="s">
        <v>3</v>
      </c>
      <c r="F31" s="1">
        <v>10</v>
      </c>
      <c r="G31" s="1">
        <v>19</v>
      </c>
    </row>
    <row r="32" spans="1:7">
      <c r="A32" s="1">
        <v>24163</v>
      </c>
      <c r="B32" s="1" t="s">
        <v>0</v>
      </c>
      <c r="C32" s="1">
        <v>30</v>
      </c>
      <c r="D32" s="1" t="s">
        <v>32</v>
      </c>
      <c r="E32" s="1" t="s">
        <v>3</v>
      </c>
      <c r="G32" s="2">
        <v>18</v>
      </c>
    </row>
    <row r="33" spans="1:7">
      <c r="A33" s="1">
        <v>22030</v>
      </c>
      <c r="B33" s="1" t="s">
        <v>0</v>
      </c>
      <c r="C33" s="1">
        <v>31</v>
      </c>
      <c r="D33" s="1" t="s">
        <v>33</v>
      </c>
      <c r="E33" s="1" t="s">
        <v>3</v>
      </c>
      <c r="F33" s="1">
        <v>5</v>
      </c>
      <c r="G33" s="1">
        <v>14</v>
      </c>
    </row>
    <row r="34" spans="1:7">
      <c r="A34" s="1">
        <v>22031</v>
      </c>
      <c r="B34" s="1" t="s">
        <v>0</v>
      </c>
      <c r="C34" s="1">
        <v>32</v>
      </c>
      <c r="D34" s="1" t="s">
        <v>34</v>
      </c>
      <c r="E34" s="1" t="s">
        <v>1</v>
      </c>
      <c r="F34" s="1">
        <v>7</v>
      </c>
      <c r="G34" s="1">
        <v>17</v>
      </c>
    </row>
    <row r="35" spans="1:7">
      <c r="A35" s="1">
        <v>24160</v>
      </c>
      <c r="B35" s="1" t="s">
        <v>0</v>
      </c>
      <c r="C35" s="1">
        <v>33</v>
      </c>
      <c r="D35" s="1" t="s">
        <v>35</v>
      </c>
      <c r="E35" s="1" t="s">
        <v>1</v>
      </c>
      <c r="F35" s="1">
        <v>10</v>
      </c>
      <c r="G35" s="1">
        <v>15</v>
      </c>
    </row>
    <row r="36" spans="1:7">
      <c r="A36" s="1">
        <v>22032</v>
      </c>
      <c r="B36" s="1" t="s">
        <v>36</v>
      </c>
      <c r="C36" s="1">
        <v>1</v>
      </c>
      <c r="D36" s="1" t="s">
        <v>37</v>
      </c>
      <c r="E36" s="1" t="s">
        <v>1</v>
      </c>
      <c r="F36" s="1">
        <v>10</v>
      </c>
      <c r="G36" s="1">
        <v>18</v>
      </c>
    </row>
    <row r="37" spans="1:7">
      <c r="A37" s="1">
        <v>23161</v>
      </c>
      <c r="B37" s="1" t="s">
        <v>36</v>
      </c>
      <c r="C37" s="1">
        <v>2</v>
      </c>
      <c r="D37" s="1" t="s">
        <v>38</v>
      </c>
      <c r="E37" s="1" t="s">
        <v>1</v>
      </c>
      <c r="F37" s="1">
        <v>5</v>
      </c>
    </row>
    <row r="38" spans="1:7">
      <c r="A38" s="1">
        <v>22033</v>
      </c>
      <c r="B38" s="1" t="s">
        <v>36</v>
      </c>
      <c r="C38" s="1">
        <v>3</v>
      </c>
      <c r="D38" s="1" t="s">
        <v>39</v>
      </c>
      <c r="E38" s="1" t="s">
        <v>3</v>
      </c>
      <c r="G38" s="1">
        <v>18</v>
      </c>
    </row>
    <row r="39" spans="1:7">
      <c r="A39" s="1">
        <v>22036</v>
      </c>
      <c r="B39" s="1" t="s">
        <v>36</v>
      </c>
      <c r="C39" s="1">
        <v>4</v>
      </c>
      <c r="D39" s="1" t="s">
        <v>40</v>
      </c>
      <c r="E39" s="1" t="s">
        <v>1</v>
      </c>
      <c r="F39" s="1">
        <v>5</v>
      </c>
      <c r="G39" s="1">
        <v>13</v>
      </c>
    </row>
    <row r="40" spans="1:7">
      <c r="A40" s="1">
        <v>22038</v>
      </c>
      <c r="B40" s="1" t="s">
        <v>36</v>
      </c>
      <c r="C40" s="1">
        <v>5</v>
      </c>
      <c r="D40" s="1" t="s">
        <v>41</v>
      </c>
      <c r="E40" s="1" t="s">
        <v>1</v>
      </c>
      <c r="F40" s="1">
        <v>10</v>
      </c>
      <c r="G40" s="1">
        <v>15</v>
      </c>
    </row>
    <row r="41" spans="1:7">
      <c r="A41" s="1">
        <v>22040</v>
      </c>
      <c r="B41" s="1" t="s">
        <v>36</v>
      </c>
      <c r="C41" s="1">
        <v>6</v>
      </c>
      <c r="D41" s="1" t="s">
        <v>42</v>
      </c>
      <c r="E41" s="1" t="s">
        <v>3</v>
      </c>
      <c r="F41" s="1">
        <v>5</v>
      </c>
      <c r="G41" s="2">
        <v>13</v>
      </c>
    </row>
    <row r="42" spans="1:7">
      <c r="A42" s="1">
        <v>22041</v>
      </c>
      <c r="B42" s="1" t="s">
        <v>36</v>
      </c>
      <c r="C42" s="1">
        <v>7</v>
      </c>
      <c r="D42" s="1" t="s">
        <v>43</v>
      </c>
      <c r="E42" s="1" t="s">
        <v>1</v>
      </c>
      <c r="F42" s="1">
        <v>5</v>
      </c>
      <c r="G42" s="1">
        <v>5</v>
      </c>
    </row>
    <row r="43" spans="1:7">
      <c r="A43" s="1">
        <v>22043</v>
      </c>
      <c r="B43" s="1" t="s">
        <v>36</v>
      </c>
      <c r="C43" s="1">
        <v>8</v>
      </c>
      <c r="D43" s="1" t="s">
        <v>44</v>
      </c>
      <c r="E43" s="1" t="s">
        <v>3</v>
      </c>
      <c r="F43" s="1">
        <v>5</v>
      </c>
      <c r="G43" s="1">
        <v>16</v>
      </c>
    </row>
    <row r="44" spans="1:7">
      <c r="A44" s="1">
        <v>22044</v>
      </c>
      <c r="B44" s="1" t="s">
        <v>36</v>
      </c>
      <c r="C44" s="1">
        <v>9</v>
      </c>
      <c r="D44" s="1" t="s">
        <v>45</v>
      </c>
      <c r="E44" s="1" t="s">
        <v>3</v>
      </c>
      <c r="F44" s="1">
        <v>10</v>
      </c>
      <c r="G44" s="1">
        <v>6</v>
      </c>
    </row>
    <row r="45" spans="1:7">
      <c r="A45" s="1">
        <v>23131</v>
      </c>
      <c r="B45" s="1" t="s">
        <v>36</v>
      </c>
      <c r="C45" s="1">
        <v>10</v>
      </c>
      <c r="D45" s="1" t="s">
        <v>46</v>
      </c>
      <c r="E45" s="1" t="s">
        <v>3</v>
      </c>
      <c r="F45" s="1">
        <v>10</v>
      </c>
    </row>
    <row r="46" spans="1:7">
      <c r="A46" s="1">
        <v>22045</v>
      </c>
      <c r="B46" s="1" t="s">
        <v>36</v>
      </c>
      <c r="C46" s="1">
        <v>11</v>
      </c>
      <c r="D46" s="1" t="s">
        <v>47</v>
      </c>
      <c r="E46" s="1" t="s">
        <v>3</v>
      </c>
      <c r="F46" s="1">
        <v>5</v>
      </c>
      <c r="G46" s="1">
        <v>17</v>
      </c>
    </row>
    <row r="47" spans="1:7">
      <c r="A47" s="1">
        <v>22046</v>
      </c>
      <c r="B47" s="1" t="s">
        <v>36</v>
      </c>
      <c r="C47" s="1">
        <v>12</v>
      </c>
      <c r="D47" s="1" t="s">
        <v>48</v>
      </c>
      <c r="E47" s="1" t="s">
        <v>1</v>
      </c>
      <c r="F47" s="1">
        <v>10</v>
      </c>
      <c r="G47" s="1">
        <v>20</v>
      </c>
    </row>
    <row r="48" spans="1:7">
      <c r="A48" s="1">
        <v>22047</v>
      </c>
      <c r="B48" s="1" t="s">
        <v>36</v>
      </c>
      <c r="C48" s="1">
        <v>13</v>
      </c>
      <c r="D48" s="1" t="s">
        <v>49</v>
      </c>
      <c r="E48" s="1" t="s">
        <v>1</v>
      </c>
      <c r="F48" s="1">
        <v>10</v>
      </c>
      <c r="G48" s="1">
        <v>19</v>
      </c>
    </row>
    <row r="49" spans="1:7">
      <c r="A49" s="1">
        <v>24133</v>
      </c>
      <c r="B49" s="1" t="s">
        <v>36</v>
      </c>
      <c r="C49" s="1">
        <v>14</v>
      </c>
      <c r="D49" s="1" t="s">
        <v>50</v>
      </c>
      <c r="E49" s="1" t="s">
        <v>1</v>
      </c>
      <c r="F49" s="1">
        <v>10</v>
      </c>
    </row>
    <row r="50" spans="1:7">
      <c r="A50" s="1">
        <v>22048</v>
      </c>
      <c r="B50" s="1" t="s">
        <v>36</v>
      </c>
      <c r="C50" s="1">
        <v>15</v>
      </c>
      <c r="D50" s="1" t="s">
        <v>51</v>
      </c>
      <c r="E50" s="1" t="s">
        <v>3</v>
      </c>
      <c r="F50" s="1">
        <v>10</v>
      </c>
      <c r="G50" s="1">
        <v>13</v>
      </c>
    </row>
    <row r="51" spans="1:7">
      <c r="A51" s="1">
        <v>22049</v>
      </c>
      <c r="B51" s="1" t="s">
        <v>36</v>
      </c>
      <c r="C51" s="1">
        <v>16</v>
      </c>
      <c r="D51" s="1" t="s">
        <v>52</v>
      </c>
      <c r="E51" s="1" t="s">
        <v>1</v>
      </c>
      <c r="F51" s="1">
        <v>10</v>
      </c>
      <c r="G51" s="1">
        <v>19</v>
      </c>
    </row>
    <row r="52" spans="1:7">
      <c r="A52" s="1">
        <v>24134</v>
      </c>
      <c r="B52" s="1" t="s">
        <v>36</v>
      </c>
      <c r="C52" s="1">
        <v>17</v>
      </c>
      <c r="D52" s="1" t="s">
        <v>53</v>
      </c>
      <c r="E52" s="1" t="s">
        <v>3</v>
      </c>
      <c r="F52" s="1">
        <v>10</v>
      </c>
      <c r="G52" s="1">
        <v>18</v>
      </c>
    </row>
    <row r="53" spans="1:7">
      <c r="A53" s="1">
        <v>22050</v>
      </c>
      <c r="B53" s="1" t="s">
        <v>36</v>
      </c>
      <c r="C53" s="1">
        <v>18</v>
      </c>
      <c r="D53" s="1" t="s">
        <v>54</v>
      </c>
      <c r="E53" s="1" t="s">
        <v>1</v>
      </c>
      <c r="F53" s="1">
        <v>10</v>
      </c>
      <c r="G53" s="1">
        <v>12</v>
      </c>
    </row>
    <row r="54" spans="1:7">
      <c r="A54" s="1">
        <v>21075</v>
      </c>
      <c r="B54" s="1" t="s">
        <v>36</v>
      </c>
      <c r="C54" s="1">
        <v>19</v>
      </c>
      <c r="D54" s="1" t="s">
        <v>55</v>
      </c>
      <c r="E54" s="1" t="s">
        <v>1</v>
      </c>
      <c r="F54" s="1">
        <v>5</v>
      </c>
    </row>
    <row r="55" spans="1:7">
      <c r="A55" s="1">
        <v>22051</v>
      </c>
      <c r="B55" s="1" t="s">
        <v>36</v>
      </c>
      <c r="C55" s="1">
        <v>20</v>
      </c>
      <c r="D55" s="1" t="s">
        <v>56</v>
      </c>
      <c r="E55" s="1" t="s">
        <v>1</v>
      </c>
      <c r="F55" s="1">
        <v>5</v>
      </c>
      <c r="G55" s="1">
        <v>10</v>
      </c>
    </row>
    <row r="56" spans="1:7">
      <c r="A56" s="1">
        <v>24126</v>
      </c>
      <c r="B56" s="1" t="s">
        <v>36</v>
      </c>
      <c r="C56" s="1">
        <v>21</v>
      </c>
      <c r="D56" s="1" t="s">
        <v>57</v>
      </c>
      <c r="E56" s="1" t="s">
        <v>3</v>
      </c>
      <c r="F56" s="1">
        <v>5</v>
      </c>
    </row>
    <row r="57" spans="1:7">
      <c r="A57" s="1">
        <v>22052</v>
      </c>
      <c r="B57" s="1" t="s">
        <v>36</v>
      </c>
      <c r="C57" s="1">
        <v>22</v>
      </c>
      <c r="D57" s="1" t="s">
        <v>58</v>
      </c>
      <c r="E57" s="1" t="s">
        <v>3</v>
      </c>
      <c r="F57" s="1">
        <v>10</v>
      </c>
      <c r="G57" s="1">
        <v>14</v>
      </c>
    </row>
    <row r="58" spans="1:7">
      <c r="A58" s="1">
        <v>22053</v>
      </c>
      <c r="B58" s="1" t="s">
        <v>36</v>
      </c>
      <c r="C58" s="1">
        <v>23</v>
      </c>
      <c r="D58" s="1" t="s">
        <v>59</v>
      </c>
      <c r="E58" s="1" t="s">
        <v>3</v>
      </c>
      <c r="F58" s="1">
        <v>5</v>
      </c>
    </row>
    <row r="59" spans="1:7">
      <c r="A59" s="1">
        <v>21112</v>
      </c>
      <c r="B59" s="1" t="s">
        <v>36</v>
      </c>
      <c r="C59" s="1">
        <v>24</v>
      </c>
      <c r="D59" s="1" t="s">
        <v>60</v>
      </c>
      <c r="E59" s="1" t="s">
        <v>3</v>
      </c>
      <c r="F59" s="1">
        <v>8</v>
      </c>
      <c r="G59" s="1">
        <v>4</v>
      </c>
    </row>
    <row r="60" spans="1:7">
      <c r="A60" s="1">
        <v>22054</v>
      </c>
      <c r="B60" s="1" t="s">
        <v>36</v>
      </c>
      <c r="C60" s="1">
        <v>25</v>
      </c>
      <c r="D60" s="1" t="s">
        <v>61</v>
      </c>
      <c r="E60" s="1" t="s">
        <v>1</v>
      </c>
      <c r="F60" s="1">
        <v>10</v>
      </c>
      <c r="G60" s="1">
        <v>19</v>
      </c>
    </row>
    <row r="61" spans="1:7">
      <c r="A61" s="1">
        <v>22055</v>
      </c>
      <c r="B61" s="1" t="s">
        <v>36</v>
      </c>
      <c r="C61" s="1">
        <v>26</v>
      </c>
      <c r="D61" s="1" t="s">
        <v>62</v>
      </c>
      <c r="E61" s="1" t="s">
        <v>3</v>
      </c>
      <c r="F61" s="1">
        <v>10</v>
      </c>
      <c r="G61" s="1">
        <v>20</v>
      </c>
    </row>
    <row r="62" spans="1:7">
      <c r="A62" s="1">
        <v>22058</v>
      </c>
      <c r="B62" s="1" t="s">
        <v>36</v>
      </c>
      <c r="C62" s="1">
        <v>27</v>
      </c>
      <c r="D62" s="1" t="s">
        <v>63</v>
      </c>
      <c r="E62" s="1" t="s">
        <v>1</v>
      </c>
      <c r="F62" s="1">
        <v>10</v>
      </c>
    </row>
    <row r="63" spans="1:7">
      <c r="A63" s="1">
        <v>22059</v>
      </c>
      <c r="B63" s="1" t="s">
        <v>36</v>
      </c>
      <c r="C63" s="1">
        <v>28</v>
      </c>
      <c r="D63" s="1" t="s">
        <v>64</v>
      </c>
      <c r="E63" s="1" t="s">
        <v>1</v>
      </c>
      <c r="F63" s="1">
        <v>10</v>
      </c>
      <c r="G63" s="1">
        <v>3</v>
      </c>
    </row>
    <row r="64" spans="1:7">
      <c r="A64" s="1">
        <v>22060</v>
      </c>
      <c r="B64" s="1" t="s">
        <v>36</v>
      </c>
      <c r="C64" s="1">
        <v>29</v>
      </c>
      <c r="D64" s="1" t="s">
        <v>65</v>
      </c>
      <c r="E64" s="1" t="s">
        <v>1</v>
      </c>
      <c r="F64" s="1">
        <v>10</v>
      </c>
      <c r="G64" s="1">
        <v>13</v>
      </c>
    </row>
    <row r="65" spans="1:7">
      <c r="A65" s="1">
        <v>20114</v>
      </c>
      <c r="B65" s="1" t="s">
        <v>36</v>
      </c>
      <c r="C65" s="1">
        <v>30</v>
      </c>
      <c r="D65" s="1" t="s">
        <v>66</v>
      </c>
      <c r="E65" s="1" t="s">
        <v>1</v>
      </c>
      <c r="F65" s="1">
        <v>5</v>
      </c>
    </row>
    <row r="66" spans="1:7">
      <c r="A66" s="1">
        <v>22061</v>
      </c>
      <c r="B66" s="1" t="s">
        <v>36</v>
      </c>
      <c r="C66" s="1">
        <v>31</v>
      </c>
      <c r="D66" s="1" t="s">
        <v>67</v>
      </c>
      <c r="E66" s="1" t="s">
        <v>3</v>
      </c>
      <c r="F66" s="1">
        <v>10</v>
      </c>
      <c r="G66" s="1">
        <v>18</v>
      </c>
    </row>
    <row r="67" spans="1:7">
      <c r="A67" s="1">
        <v>22062</v>
      </c>
      <c r="B67" s="1" t="s">
        <v>36</v>
      </c>
      <c r="C67" s="1">
        <v>32</v>
      </c>
      <c r="D67" s="1" t="s">
        <v>68</v>
      </c>
      <c r="E67" s="1" t="s">
        <v>3</v>
      </c>
      <c r="F67" s="1">
        <v>10</v>
      </c>
      <c r="G67" s="1">
        <v>21</v>
      </c>
    </row>
  </sheetData>
  <autoFilter ref="A2:F67" xr:uid="{1E1F70A4-A3B2-4A84-B73B-5D282A59F84F}"/>
  <phoneticPr fontId="1" type="noConversion"/>
  <conditionalFormatting sqref="A1:G1048576">
    <cfRule type="expression" dxfId="1" priority="1">
      <formula>MOD($C1,5)=1</formula>
    </cfRule>
  </conditionalFormatting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  <rowBreaks count="1" manualBreakCount="1">
    <brk id="3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E0AB-28E9-4A42-992F-736188AB1A0D}">
  <sheetPr filterMode="1"/>
  <dimension ref="A1:V66"/>
  <sheetViews>
    <sheetView tabSelected="1" workbookViewId="0">
      <selection activeCell="B1" sqref="B1"/>
    </sheetView>
  </sheetViews>
  <sheetFormatPr defaultRowHeight="17"/>
  <cols>
    <col min="1" max="7" width="9" style="1"/>
    <col min="8" max="22" width="9" style="3"/>
  </cols>
  <sheetData>
    <row r="1" spans="1:22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>
        <f>SUM(I1,L1,O1,R1,U1)</f>
        <v>56</v>
      </c>
      <c r="G1" s="1">
        <f>ROUND(F1/F$1*100,0)</f>
        <v>100</v>
      </c>
      <c r="H1" s="3" t="s">
        <v>118</v>
      </c>
      <c r="I1" s="3">
        <v>10</v>
      </c>
      <c r="J1" s="3" t="s">
        <v>154</v>
      </c>
      <c r="K1" s="3" t="s">
        <v>119</v>
      </c>
      <c r="L1" s="3">
        <v>18</v>
      </c>
      <c r="M1" s="3" t="s">
        <v>155</v>
      </c>
      <c r="N1" s="3" t="s">
        <v>120</v>
      </c>
      <c r="O1" s="3">
        <v>10</v>
      </c>
      <c r="P1" s="3" t="s">
        <v>156</v>
      </c>
      <c r="Q1" s="3" t="s">
        <v>121</v>
      </c>
      <c r="R1" s="3">
        <v>8</v>
      </c>
      <c r="S1" s="3" t="s">
        <v>157</v>
      </c>
      <c r="T1" s="3" t="s">
        <v>122</v>
      </c>
      <c r="U1" s="3">
        <v>10</v>
      </c>
      <c r="V1" s="3" t="s">
        <v>158</v>
      </c>
    </row>
    <row r="2" spans="1:22" hidden="1">
      <c r="A2" s="1">
        <v>22001</v>
      </c>
      <c r="B2" s="1" t="s">
        <v>0</v>
      </c>
      <c r="C2" s="1">
        <v>1</v>
      </c>
      <c r="D2" s="1" t="s">
        <v>2</v>
      </c>
      <c r="E2" s="1" t="s">
        <v>3</v>
      </c>
      <c r="F2" s="1">
        <f t="shared" ref="F2:F65" si="0">SUM(I2,L2,O2,R2,U2)</f>
        <v>46</v>
      </c>
      <c r="G2" s="1">
        <f t="shared" ref="G2:G65" si="1">ROUND(F2/F$1*100,0)</f>
        <v>82</v>
      </c>
      <c r="H2" s="3" t="s">
        <v>77</v>
      </c>
      <c r="I2" s="3">
        <v>8</v>
      </c>
      <c r="J2" s="3" t="s">
        <v>78</v>
      </c>
      <c r="K2" s="3" t="s">
        <v>101</v>
      </c>
      <c r="L2" s="3">
        <v>10</v>
      </c>
      <c r="M2" s="3" t="s">
        <v>102</v>
      </c>
      <c r="N2" s="3" t="s">
        <v>123</v>
      </c>
      <c r="O2" s="3">
        <v>10</v>
      </c>
      <c r="P2" s="3" t="s">
        <v>161</v>
      </c>
      <c r="Q2" s="3" t="s">
        <v>127</v>
      </c>
      <c r="R2" s="3">
        <v>8</v>
      </c>
      <c r="S2" s="3" t="s">
        <v>161</v>
      </c>
      <c r="T2" s="3" t="s">
        <v>140</v>
      </c>
      <c r="U2" s="3">
        <v>10</v>
      </c>
      <c r="V2" s="3" t="s">
        <v>162</v>
      </c>
    </row>
    <row r="3" spans="1:22" hidden="1">
      <c r="A3" s="1">
        <v>21118</v>
      </c>
      <c r="B3" s="1" t="s">
        <v>0</v>
      </c>
      <c r="C3" s="1">
        <v>2</v>
      </c>
      <c r="D3" s="1" t="s">
        <v>4</v>
      </c>
      <c r="E3" s="1" t="s">
        <v>3</v>
      </c>
      <c r="F3" s="1">
        <f t="shared" si="0"/>
        <v>20</v>
      </c>
      <c r="G3" s="1">
        <f t="shared" si="1"/>
        <v>36</v>
      </c>
      <c r="H3" s="3" t="s">
        <v>77</v>
      </c>
      <c r="I3" s="3">
        <v>0</v>
      </c>
      <c r="J3" s="3" t="s">
        <v>160</v>
      </c>
      <c r="K3" s="3" t="s">
        <v>101</v>
      </c>
      <c r="L3" s="3">
        <v>0</v>
      </c>
      <c r="M3" s="3" t="s">
        <v>160</v>
      </c>
      <c r="N3" s="3" t="s">
        <v>123</v>
      </c>
      <c r="O3" s="3">
        <v>10</v>
      </c>
      <c r="P3" s="3" t="s">
        <v>161</v>
      </c>
      <c r="Q3" s="3" t="s">
        <v>127</v>
      </c>
      <c r="R3" s="3">
        <v>0</v>
      </c>
      <c r="S3" s="3" t="s">
        <v>159</v>
      </c>
      <c r="T3" s="3" t="s">
        <v>140</v>
      </c>
      <c r="U3" s="3">
        <v>10</v>
      </c>
      <c r="V3" s="3" t="s">
        <v>161</v>
      </c>
    </row>
    <row r="4" spans="1:22" hidden="1">
      <c r="A4" s="1">
        <v>22002</v>
      </c>
      <c r="B4" s="1" t="s">
        <v>0</v>
      </c>
      <c r="C4" s="1">
        <v>3</v>
      </c>
      <c r="D4" s="1" t="s">
        <v>5</v>
      </c>
      <c r="E4" s="1" t="s">
        <v>1</v>
      </c>
      <c r="F4" s="1">
        <f t="shared" si="0"/>
        <v>40</v>
      </c>
      <c r="G4" s="1">
        <f t="shared" si="1"/>
        <v>71</v>
      </c>
      <c r="H4" s="3" t="s">
        <v>77</v>
      </c>
      <c r="I4" s="3">
        <v>6</v>
      </c>
      <c r="J4" s="3" t="s">
        <v>79</v>
      </c>
      <c r="K4" s="3" t="s">
        <v>101</v>
      </c>
      <c r="L4" s="3">
        <v>10</v>
      </c>
      <c r="M4" s="3" t="s">
        <v>103</v>
      </c>
      <c r="N4" s="3" t="s">
        <v>123</v>
      </c>
      <c r="O4" s="3">
        <v>8</v>
      </c>
      <c r="P4" s="3" t="s">
        <v>124</v>
      </c>
      <c r="Q4" s="3" t="s">
        <v>127</v>
      </c>
      <c r="R4" s="3">
        <v>8</v>
      </c>
      <c r="S4" s="3" t="s">
        <v>161</v>
      </c>
      <c r="T4" s="3" t="s">
        <v>140</v>
      </c>
      <c r="U4" s="3">
        <v>8</v>
      </c>
      <c r="V4" s="3" t="s">
        <v>141</v>
      </c>
    </row>
    <row r="5" spans="1:22">
      <c r="A5" s="1">
        <v>22003</v>
      </c>
      <c r="B5" s="1" t="s">
        <v>0</v>
      </c>
      <c r="C5" s="1">
        <v>4</v>
      </c>
      <c r="D5" s="1" t="s">
        <v>6</v>
      </c>
      <c r="E5" s="1" t="s">
        <v>1</v>
      </c>
      <c r="F5" s="1">
        <f t="shared" si="0"/>
        <v>38</v>
      </c>
      <c r="G5" s="1">
        <f t="shared" si="1"/>
        <v>68</v>
      </c>
      <c r="H5" s="3" t="s">
        <v>77</v>
      </c>
      <c r="I5" s="3">
        <v>8</v>
      </c>
      <c r="J5" s="3" t="s">
        <v>80</v>
      </c>
      <c r="K5" s="3" t="s">
        <v>101</v>
      </c>
      <c r="L5" s="3">
        <v>14</v>
      </c>
      <c r="M5" s="3" t="s">
        <v>104</v>
      </c>
      <c r="N5" s="3" t="s">
        <v>123</v>
      </c>
      <c r="O5" s="3">
        <v>8</v>
      </c>
      <c r="P5" s="3" t="s">
        <v>161</v>
      </c>
      <c r="Q5" s="3" t="s">
        <v>127</v>
      </c>
      <c r="R5" s="3">
        <v>0</v>
      </c>
      <c r="S5" s="3" t="s">
        <v>159</v>
      </c>
      <c r="T5" s="3" t="s">
        <v>140</v>
      </c>
      <c r="U5" s="3">
        <v>8</v>
      </c>
      <c r="V5" s="3" t="s">
        <v>161</v>
      </c>
    </row>
    <row r="6" spans="1:22" hidden="1">
      <c r="A6" s="1">
        <v>22004</v>
      </c>
      <c r="B6" s="1" t="s">
        <v>0</v>
      </c>
      <c r="C6" s="1">
        <v>5</v>
      </c>
      <c r="D6" s="1" t="s">
        <v>7</v>
      </c>
      <c r="E6" s="1" t="s">
        <v>3</v>
      </c>
      <c r="F6" s="1">
        <f t="shared" si="0"/>
        <v>34</v>
      </c>
      <c r="G6" s="1">
        <f t="shared" si="1"/>
        <v>61</v>
      </c>
      <c r="H6" s="3" t="s">
        <v>77</v>
      </c>
      <c r="I6" s="3">
        <v>6</v>
      </c>
      <c r="J6" s="3" t="s">
        <v>81</v>
      </c>
      <c r="K6" s="3" t="s">
        <v>101</v>
      </c>
      <c r="L6" s="3">
        <v>8</v>
      </c>
      <c r="M6" s="3" t="s">
        <v>105</v>
      </c>
      <c r="N6" s="3" t="s">
        <v>123</v>
      </c>
      <c r="O6" s="3">
        <v>10</v>
      </c>
      <c r="P6" s="3" t="s">
        <v>161</v>
      </c>
      <c r="Q6" s="3" t="s">
        <v>127</v>
      </c>
      <c r="R6" s="3">
        <v>6</v>
      </c>
      <c r="S6" s="3" t="s">
        <v>128</v>
      </c>
      <c r="T6" s="3" t="s">
        <v>140</v>
      </c>
      <c r="U6" s="3">
        <v>4</v>
      </c>
      <c r="V6" s="3" t="s">
        <v>142</v>
      </c>
    </row>
    <row r="7" spans="1:22" hidden="1">
      <c r="A7" s="1">
        <v>22005</v>
      </c>
      <c r="B7" s="1" t="s">
        <v>0</v>
      </c>
      <c r="C7" s="1">
        <v>6</v>
      </c>
      <c r="D7" s="1" t="s">
        <v>8</v>
      </c>
      <c r="E7" s="1" t="s">
        <v>3</v>
      </c>
      <c r="F7" s="1">
        <f t="shared" si="0"/>
        <v>30</v>
      </c>
      <c r="G7" s="1">
        <f t="shared" si="1"/>
        <v>54</v>
      </c>
      <c r="H7" s="3" t="s">
        <v>77</v>
      </c>
      <c r="I7" s="3">
        <v>4</v>
      </c>
      <c r="J7" s="3" t="s">
        <v>82</v>
      </c>
      <c r="K7" s="3" t="s">
        <v>101</v>
      </c>
      <c r="L7" s="3">
        <v>10</v>
      </c>
      <c r="M7" s="3" t="s">
        <v>102</v>
      </c>
      <c r="N7" s="3" t="s">
        <v>123</v>
      </c>
      <c r="O7" s="3">
        <v>6</v>
      </c>
      <c r="P7" s="3" t="s">
        <v>125</v>
      </c>
      <c r="Q7" s="3" t="s">
        <v>127</v>
      </c>
      <c r="R7" s="3">
        <v>0</v>
      </c>
      <c r="S7" s="3" t="s">
        <v>159</v>
      </c>
      <c r="T7" s="3" t="s">
        <v>140</v>
      </c>
      <c r="U7" s="3">
        <v>10</v>
      </c>
      <c r="V7" s="3" t="s">
        <v>161</v>
      </c>
    </row>
    <row r="8" spans="1:22" hidden="1">
      <c r="A8" s="1">
        <v>24131</v>
      </c>
      <c r="B8" s="1" t="s">
        <v>0</v>
      </c>
      <c r="C8" s="1">
        <v>7</v>
      </c>
      <c r="D8" s="1" t="s">
        <v>9</v>
      </c>
      <c r="E8" s="1" t="s">
        <v>3</v>
      </c>
      <c r="F8" s="1">
        <f t="shared" si="0"/>
        <v>44</v>
      </c>
      <c r="G8" s="1">
        <f t="shared" si="1"/>
        <v>79</v>
      </c>
      <c r="H8" s="3" t="s">
        <v>77</v>
      </c>
      <c r="I8" s="3">
        <v>8</v>
      </c>
      <c r="J8" s="3" t="s">
        <v>78</v>
      </c>
      <c r="K8" s="3" t="s">
        <v>101</v>
      </c>
      <c r="L8" s="3">
        <v>10</v>
      </c>
      <c r="M8" s="3" t="s">
        <v>102</v>
      </c>
      <c r="N8" s="3" t="s">
        <v>123</v>
      </c>
      <c r="O8" s="3">
        <v>8</v>
      </c>
      <c r="P8" s="3" t="s">
        <v>124</v>
      </c>
      <c r="Q8" s="3" t="s">
        <v>127</v>
      </c>
      <c r="R8" s="3">
        <v>8</v>
      </c>
      <c r="S8" s="3" t="s">
        <v>161</v>
      </c>
      <c r="T8" s="3" t="s">
        <v>140</v>
      </c>
      <c r="U8" s="3">
        <v>10</v>
      </c>
      <c r="V8" s="3" t="s">
        <v>161</v>
      </c>
    </row>
    <row r="9" spans="1:22" hidden="1">
      <c r="A9" s="1">
        <v>22006</v>
      </c>
      <c r="B9" s="1" t="s">
        <v>0</v>
      </c>
      <c r="C9" s="1">
        <v>8</v>
      </c>
      <c r="D9" s="1" t="s">
        <v>10</v>
      </c>
      <c r="E9" s="1" t="s">
        <v>1</v>
      </c>
      <c r="F9" s="1">
        <f t="shared" si="0"/>
        <v>44</v>
      </c>
      <c r="G9" s="1">
        <f t="shared" si="1"/>
        <v>79</v>
      </c>
      <c r="H9" s="3" t="s">
        <v>77</v>
      </c>
      <c r="I9" s="3">
        <v>6</v>
      </c>
      <c r="J9" s="3" t="s">
        <v>83</v>
      </c>
      <c r="K9" s="3" t="s">
        <v>101</v>
      </c>
      <c r="L9" s="3">
        <v>10</v>
      </c>
      <c r="M9" s="3" t="s">
        <v>102</v>
      </c>
      <c r="N9" s="3" t="s">
        <v>123</v>
      </c>
      <c r="O9" s="3">
        <v>10</v>
      </c>
      <c r="P9" s="3" t="s">
        <v>161</v>
      </c>
      <c r="Q9" s="3" t="s">
        <v>127</v>
      </c>
      <c r="R9" s="3">
        <v>8</v>
      </c>
      <c r="S9" s="3" t="s">
        <v>161</v>
      </c>
      <c r="T9" s="3" t="s">
        <v>140</v>
      </c>
      <c r="U9" s="3">
        <v>10</v>
      </c>
      <c r="V9" s="3" t="s">
        <v>161</v>
      </c>
    </row>
    <row r="10" spans="1:22" hidden="1">
      <c r="A10" s="1">
        <v>22007</v>
      </c>
      <c r="B10" s="1" t="s">
        <v>0</v>
      </c>
      <c r="C10" s="1">
        <v>9</v>
      </c>
      <c r="D10" s="1" t="s">
        <v>11</v>
      </c>
      <c r="E10" s="1" t="s">
        <v>1</v>
      </c>
      <c r="F10" s="1">
        <f t="shared" si="0"/>
        <v>49</v>
      </c>
      <c r="G10" s="1">
        <f t="shared" si="1"/>
        <v>88</v>
      </c>
      <c r="H10" s="3" t="s">
        <v>77</v>
      </c>
      <c r="I10" s="3">
        <v>9</v>
      </c>
      <c r="J10" s="3" t="s">
        <v>78</v>
      </c>
      <c r="K10" s="3" t="s">
        <v>101</v>
      </c>
      <c r="L10" s="3">
        <v>14</v>
      </c>
      <c r="M10" s="3" t="s">
        <v>104</v>
      </c>
      <c r="N10" s="3" t="s">
        <v>123</v>
      </c>
      <c r="O10" s="3">
        <v>10</v>
      </c>
      <c r="P10" s="3" t="s">
        <v>161</v>
      </c>
      <c r="Q10" s="3" t="s">
        <v>127</v>
      </c>
      <c r="R10" s="3">
        <v>8</v>
      </c>
      <c r="S10" s="3" t="s">
        <v>129</v>
      </c>
      <c r="T10" s="3" t="s">
        <v>140</v>
      </c>
      <c r="U10" s="3">
        <v>8</v>
      </c>
      <c r="V10" s="3" t="s">
        <v>161</v>
      </c>
    </row>
    <row r="11" spans="1:22">
      <c r="A11" s="1">
        <v>22008</v>
      </c>
      <c r="B11" s="1" t="s">
        <v>0</v>
      </c>
      <c r="C11" s="1">
        <v>10</v>
      </c>
      <c r="D11" s="1" t="s">
        <v>12</v>
      </c>
      <c r="E11" s="1" t="s">
        <v>1</v>
      </c>
      <c r="F11" s="1">
        <f t="shared" si="0"/>
        <v>38</v>
      </c>
      <c r="G11" s="1">
        <f t="shared" si="1"/>
        <v>68</v>
      </c>
      <c r="H11" s="3" t="s">
        <v>77</v>
      </c>
      <c r="I11" s="3">
        <v>6</v>
      </c>
      <c r="J11" s="3" t="s">
        <v>83</v>
      </c>
      <c r="K11" s="3" t="s">
        <v>101</v>
      </c>
      <c r="L11" s="3">
        <v>10</v>
      </c>
      <c r="M11" s="3" t="s">
        <v>102</v>
      </c>
      <c r="N11" s="3" t="s">
        <v>123</v>
      </c>
      <c r="O11" s="3">
        <v>8</v>
      </c>
      <c r="P11" s="3" t="s">
        <v>126</v>
      </c>
      <c r="Q11" s="3" t="s">
        <v>127</v>
      </c>
      <c r="R11" s="3">
        <v>6</v>
      </c>
      <c r="S11" s="3" t="s">
        <v>130</v>
      </c>
      <c r="T11" s="3" t="s">
        <v>140</v>
      </c>
      <c r="U11" s="3">
        <v>8</v>
      </c>
      <c r="V11" s="3" t="s">
        <v>143</v>
      </c>
    </row>
    <row r="12" spans="1:22" hidden="1">
      <c r="A12" s="1">
        <v>21005</v>
      </c>
      <c r="B12" s="1" t="s">
        <v>0</v>
      </c>
      <c r="C12" s="1">
        <v>11</v>
      </c>
      <c r="D12" s="1" t="s">
        <v>13</v>
      </c>
      <c r="E12" s="1" t="s">
        <v>1</v>
      </c>
      <c r="F12" s="1">
        <f t="shared" si="0"/>
        <v>35</v>
      </c>
      <c r="G12" s="1">
        <f t="shared" si="1"/>
        <v>63</v>
      </c>
      <c r="H12" s="3" t="s">
        <v>77</v>
      </c>
      <c r="I12" s="3">
        <v>6</v>
      </c>
      <c r="J12" s="3" t="s">
        <v>79</v>
      </c>
      <c r="K12" s="3" t="s">
        <v>101</v>
      </c>
      <c r="L12" s="3">
        <v>11</v>
      </c>
      <c r="M12" s="3" t="s">
        <v>106</v>
      </c>
      <c r="N12" s="3" t="s">
        <v>123</v>
      </c>
      <c r="O12" s="3">
        <v>10</v>
      </c>
      <c r="P12" s="3" t="s">
        <v>161</v>
      </c>
      <c r="Q12" s="3" t="s">
        <v>127</v>
      </c>
      <c r="R12" s="3">
        <v>0</v>
      </c>
      <c r="S12" s="3" t="s">
        <v>159</v>
      </c>
      <c r="T12" s="3" t="s">
        <v>140</v>
      </c>
      <c r="U12" s="3">
        <v>8</v>
      </c>
      <c r="V12" s="3" t="s">
        <v>144</v>
      </c>
    </row>
    <row r="13" spans="1:22" hidden="1">
      <c r="A13" s="1">
        <v>22009</v>
      </c>
      <c r="B13" s="1" t="s">
        <v>0</v>
      </c>
      <c r="C13" s="1">
        <v>12</v>
      </c>
      <c r="D13" s="1" t="s">
        <v>14</v>
      </c>
      <c r="E13" s="1" t="s">
        <v>3</v>
      </c>
      <c r="F13" s="1">
        <f t="shared" si="0"/>
        <v>50</v>
      </c>
      <c r="G13" s="1">
        <f t="shared" si="1"/>
        <v>89</v>
      </c>
      <c r="H13" s="3" t="s">
        <v>77</v>
      </c>
      <c r="I13" s="3">
        <v>7</v>
      </c>
      <c r="J13" s="3" t="s">
        <v>84</v>
      </c>
      <c r="K13" s="3" t="s">
        <v>101</v>
      </c>
      <c r="L13" s="3">
        <v>15</v>
      </c>
      <c r="M13" s="3" t="s">
        <v>103</v>
      </c>
      <c r="N13" s="3" t="s">
        <v>123</v>
      </c>
      <c r="O13" s="3">
        <v>10</v>
      </c>
      <c r="P13" s="3" t="s">
        <v>161</v>
      </c>
      <c r="Q13" s="3" t="s">
        <v>127</v>
      </c>
      <c r="R13" s="3">
        <v>8</v>
      </c>
      <c r="S13" s="3" t="s">
        <v>161</v>
      </c>
      <c r="T13" s="3" t="s">
        <v>140</v>
      </c>
      <c r="U13" s="3">
        <v>10</v>
      </c>
      <c r="V13" s="3" t="s">
        <v>161</v>
      </c>
    </row>
    <row r="14" spans="1:22" hidden="1">
      <c r="A14" s="1">
        <v>22010</v>
      </c>
      <c r="B14" s="1" t="s">
        <v>0</v>
      </c>
      <c r="C14" s="1">
        <v>13</v>
      </c>
      <c r="D14" s="1" t="s">
        <v>15</v>
      </c>
      <c r="E14" s="1" t="s">
        <v>1</v>
      </c>
      <c r="F14" s="1">
        <f t="shared" si="0"/>
        <v>46</v>
      </c>
      <c r="G14" s="1">
        <f t="shared" si="1"/>
        <v>82</v>
      </c>
      <c r="H14" s="3" t="s">
        <v>77</v>
      </c>
      <c r="I14" s="3">
        <v>5</v>
      </c>
      <c r="J14" s="3" t="s">
        <v>85</v>
      </c>
      <c r="K14" s="3" t="s">
        <v>101</v>
      </c>
      <c r="L14" s="3">
        <v>16</v>
      </c>
      <c r="M14" s="3" t="s">
        <v>162</v>
      </c>
      <c r="N14" s="3" t="s">
        <v>123</v>
      </c>
      <c r="O14" s="3">
        <v>9</v>
      </c>
      <c r="P14" s="3" t="s">
        <v>161</v>
      </c>
      <c r="Q14" s="3" t="s">
        <v>127</v>
      </c>
      <c r="R14" s="3">
        <v>8</v>
      </c>
      <c r="S14" s="3" t="s">
        <v>161</v>
      </c>
      <c r="T14" s="3" t="s">
        <v>140</v>
      </c>
      <c r="U14" s="3">
        <v>8</v>
      </c>
      <c r="V14" s="3" t="s">
        <v>161</v>
      </c>
    </row>
    <row r="15" spans="1:22" hidden="1">
      <c r="A15" s="1">
        <v>22011</v>
      </c>
      <c r="B15" s="1" t="s">
        <v>0</v>
      </c>
      <c r="C15" s="1">
        <v>14</v>
      </c>
      <c r="D15" s="1" t="s">
        <v>16</v>
      </c>
      <c r="E15" s="1" t="s">
        <v>3</v>
      </c>
      <c r="F15" s="1">
        <f t="shared" si="0"/>
        <v>49</v>
      </c>
      <c r="G15" s="1">
        <f t="shared" si="1"/>
        <v>88</v>
      </c>
      <c r="H15" s="3" t="s">
        <v>77</v>
      </c>
      <c r="I15" s="3">
        <v>6</v>
      </c>
      <c r="J15" s="3" t="s">
        <v>81</v>
      </c>
      <c r="K15" s="3" t="s">
        <v>101</v>
      </c>
      <c r="L15" s="3">
        <v>15</v>
      </c>
      <c r="M15" s="3" t="s">
        <v>103</v>
      </c>
      <c r="N15" s="3" t="s">
        <v>123</v>
      </c>
      <c r="O15" s="3">
        <v>10</v>
      </c>
      <c r="P15" s="3" t="s">
        <v>161</v>
      </c>
      <c r="Q15" s="3" t="s">
        <v>127</v>
      </c>
      <c r="R15" s="3">
        <v>8</v>
      </c>
      <c r="S15" s="3" t="s">
        <v>161</v>
      </c>
      <c r="T15" s="3" t="s">
        <v>140</v>
      </c>
      <c r="U15" s="3">
        <v>10</v>
      </c>
      <c r="V15" s="3" t="s">
        <v>161</v>
      </c>
    </row>
    <row r="16" spans="1:22" hidden="1">
      <c r="A16" s="1">
        <v>22012</v>
      </c>
      <c r="B16" s="1" t="s">
        <v>0</v>
      </c>
      <c r="C16" s="1">
        <v>15</v>
      </c>
      <c r="D16" s="1" t="s">
        <v>17</v>
      </c>
      <c r="E16" s="1" t="s">
        <v>3</v>
      </c>
      <c r="F16" s="1">
        <f t="shared" si="0"/>
        <v>29</v>
      </c>
      <c r="G16" s="1">
        <f t="shared" si="1"/>
        <v>52</v>
      </c>
      <c r="H16" s="3" t="s">
        <v>77</v>
      </c>
      <c r="I16" s="3">
        <v>4</v>
      </c>
      <c r="J16" s="3" t="s">
        <v>86</v>
      </c>
      <c r="K16" s="3" t="s">
        <v>101</v>
      </c>
      <c r="L16" s="3">
        <v>15</v>
      </c>
      <c r="M16" s="3" t="s">
        <v>103</v>
      </c>
      <c r="N16" s="3" t="s">
        <v>123</v>
      </c>
      <c r="O16" s="3">
        <v>0</v>
      </c>
      <c r="P16" s="3" t="s">
        <v>159</v>
      </c>
      <c r="Q16" s="3" t="s">
        <v>127</v>
      </c>
      <c r="R16" s="3">
        <v>0</v>
      </c>
      <c r="S16" s="3" t="s">
        <v>159</v>
      </c>
      <c r="T16" s="3" t="s">
        <v>140</v>
      </c>
      <c r="U16" s="3">
        <v>10</v>
      </c>
      <c r="V16" s="3" t="s">
        <v>161</v>
      </c>
    </row>
    <row r="17" spans="1:22" hidden="1">
      <c r="A17" s="1">
        <v>22013</v>
      </c>
      <c r="B17" s="1" t="s">
        <v>0</v>
      </c>
      <c r="C17" s="1">
        <v>16</v>
      </c>
      <c r="D17" s="1" t="s">
        <v>18</v>
      </c>
      <c r="E17" s="1" t="s">
        <v>1</v>
      </c>
      <c r="F17" s="1">
        <f t="shared" si="0"/>
        <v>31</v>
      </c>
      <c r="G17" s="1">
        <f t="shared" si="1"/>
        <v>55</v>
      </c>
      <c r="H17" s="3" t="s">
        <v>77</v>
      </c>
      <c r="I17" s="3">
        <v>6</v>
      </c>
      <c r="J17" s="3" t="s">
        <v>87</v>
      </c>
      <c r="K17" s="3" t="s">
        <v>101</v>
      </c>
      <c r="L17" s="3">
        <v>8</v>
      </c>
      <c r="M17" s="3" t="s">
        <v>107</v>
      </c>
      <c r="N17" s="3" t="s">
        <v>123</v>
      </c>
      <c r="O17" s="3">
        <v>10</v>
      </c>
      <c r="P17" s="3" t="s">
        <v>161</v>
      </c>
      <c r="Q17" s="3" t="s">
        <v>127</v>
      </c>
      <c r="R17" s="3">
        <v>7</v>
      </c>
      <c r="S17" s="3" t="s">
        <v>131</v>
      </c>
      <c r="T17" s="3" t="s">
        <v>140</v>
      </c>
      <c r="U17" s="3">
        <v>0</v>
      </c>
      <c r="V17" s="3" t="s">
        <v>159</v>
      </c>
    </row>
    <row r="18" spans="1:22" hidden="1">
      <c r="A18" s="1">
        <v>22014</v>
      </c>
      <c r="B18" s="1" t="s">
        <v>0</v>
      </c>
      <c r="C18" s="1">
        <v>17</v>
      </c>
      <c r="D18" s="1" t="s">
        <v>19</v>
      </c>
      <c r="E18" s="1" t="s">
        <v>3</v>
      </c>
      <c r="F18" s="1">
        <f t="shared" si="0"/>
        <v>31</v>
      </c>
      <c r="G18" s="1">
        <f t="shared" si="1"/>
        <v>55</v>
      </c>
      <c r="H18" s="3" t="s">
        <v>77</v>
      </c>
      <c r="I18" s="3">
        <v>4</v>
      </c>
      <c r="J18" s="3" t="s">
        <v>88</v>
      </c>
      <c r="K18" s="3" t="s">
        <v>101</v>
      </c>
      <c r="L18" s="3">
        <v>15</v>
      </c>
      <c r="M18" s="3" t="s">
        <v>103</v>
      </c>
      <c r="N18" s="3" t="s">
        <v>123</v>
      </c>
      <c r="O18" s="3">
        <v>10</v>
      </c>
      <c r="P18" s="3" t="s">
        <v>161</v>
      </c>
      <c r="Q18" s="3" t="s">
        <v>127</v>
      </c>
      <c r="R18" s="3">
        <v>0</v>
      </c>
      <c r="S18" s="3" t="s">
        <v>159</v>
      </c>
      <c r="T18" s="3" t="s">
        <v>140</v>
      </c>
      <c r="U18" s="3">
        <v>2</v>
      </c>
      <c r="V18" s="3" t="s">
        <v>145</v>
      </c>
    </row>
    <row r="19" spans="1:22">
      <c r="A19" s="1">
        <v>22016</v>
      </c>
      <c r="B19" s="1" t="s">
        <v>0</v>
      </c>
      <c r="C19" s="1">
        <v>18</v>
      </c>
      <c r="D19" s="1" t="s">
        <v>20</v>
      </c>
      <c r="E19" s="1" t="s">
        <v>1</v>
      </c>
      <c r="F19" s="1">
        <f t="shared" si="0"/>
        <v>42</v>
      </c>
      <c r="G19" s="1">
        <f t="shared" si="1"/>
        <v>75</v>
      </c>
      <c r="H19" s="3" t="s">
        <v>77</v>
      </c>
      <c r="I19" s="3">
        <v>9</v>
      </c>
      <c r="J19" s="3" t="s">
        <v>78</v>
      </c>
      <c r="K19" s="3" t="s">
        <v>101</v>
      </c>
      <c r="L19" s="3">
        <v>9</v>
      </c>
      <c r="M19" s="3" t="s">
        <v>102</v>
      </c>
      <c r="N19" s="3" t="s">
        <v>123</v>
      </c>
      <c r="O19" s="3">
        <v>6</v>
      </c>
      <c r="P19" s="3" t="s">
        <v>126</v>
      </c>
      <c r="Q19" s="3" t="s">
        <v>127</v>
      </c>
      <c r="R19" s="3">
        <v>8</v>
      </c>
      <c r="S19" s="3" t="s">
        <v>132</v>
      </c>
      <c r="T19" s="3" t="s">
        <v>140</v>
      </c>
      <c r="U19" s="3">
        <v>10</v>
      </c>
      <c r="V19" s="3" t="s">
        <v>161</v>
      </c>
    </row>
    <row r="20" spans="1:22" hidden="1">
      <c r="A20" s="1">
        <v>22018</v>
      </c>
      <c r="B20" s="1" t="s">
        <v>0</v>
      </c>
      <c r="C20" s="1">
        <v>19</v>
      </c>
      <c r="D20" s="1" t="s">
        <v>21</v>
      </c>
      <c r="E20" s="1" t="s">
        <v>1</v>
      </c>
      <c r="F20" s="1">
        <f t="shared" si="0"/>
        <v>34</v>
      </c>
      <c r="G20" s="1">
        <f t="shared" si="1"/>
        <v>61</v>
      </c>
      <c r="H20" s="3" t="s">
        <v>77</v>
      </c>
      <c r="I20" s="3">
        <v>5</v>
      </c>
      <c r="J20" s="3" t="s">
        <v>85</v>
      </c>
      <c r="K20" s="3" t="s">
        <v>101</v>
      </c>
      <c r="L20" s="3">
        <v>2</v>
      </c>
      <c r="M20" s="3" t="s">
        <v>108</v>
      </c>
      <c r="N20" s="3" t="s">
        <v>123</v>
      </c>
      <c r="O20" s="3">
        <v>10</v>
      </c>
      <c r="P20" s="3" t="s">
        <v>161</v>
      </c>
      <c r="Q20" s="3" t="s">
        <v>127</v>
      </c>
      <c r="R20" s="3">
        <v>7</v>
      </c>
      <c r="S20" s="3" t="s">
        <v>161</v>
      </c>
      <c r="T20" s="3" t="s">
        <v>140</v>
      </c>
      <c r="U20" s="3">
        <v>10</v>
      </c>
      <c r="V20" s="3" t="s">
        <v>161</v>
      </c>
    </row>
    <row r="21" spans="1:22">
      <c r="A21" s="1">
        <v>22020</v>
      </c>
      <c r="B21" s="1" t="s">
        <v>0</v>
      </c>
      <c r="C21" s="1">
        <v>20</v>
      </c>
      <c r="D21" s="1" t="s">
        <v>22</v>
      </c>
      <c r="E21" s="1" t="s">
        <v>3</v>
      </c>
      <c r="F21" s="1">
        <f t="shared" si="0"/>
        <v>38</v>
      </c>
      <c r="G21" s="1">
        <f t="shared" si="1"/>
        <v>68</v>
      </c>
      <c r="H21" s="3" t="s">
        <v>77</v>
      </c>
      <c r="I21" s="3">
        <v>4</v>
      </c>
      <c r="J21" s="3" t="s">
        <v>86</v>
      </c>
      <c r="K21" s="3" t="s">
        <v>101</v>
      </c>
      <c r="L21" s="3">
        <v>14</v>
      </c>
      <c r="M21" s="3" t="s">
        <v>103</v>
      </c>
      <c r="N21" s="3" t="s">
        <v>123</v>
      </c>
      <c r="O21" s="3">
        <v>10</v>
      </c>
      <c r="P21" s="3" t="s">
        <v>161</v>
      </c>
      <c r="Q21" s="3" t="s">
        <v>127</v>
      </c>
      <c r="R21" s="3">
        <v>0</v>
      </c>
      <c r="S21" s="3" t="s">
        <v>159</v>
      </c>
      <c r="T21" s="3" t="s">
        <v>140</v>
      </c>
      <c r="U21" s="3">
        <v>10</v>
      </c>
      <c r="V21" s="3" t="s">
        <v>161</v>
      </c>
    </row>
    <row r="22" spans="1:22" hidden="1">
      <c r="A22" s="1">
        <v>22021</v>
      </c>
      <c r="B22" s="1" t="s">
        <v>0</v>
      </c>
      <c r="C22" s="1">
        <v>21</v>
      </c>
      <c r="D22" s="1" t="s">
        <v>23</v>
      </c>
      <c r="E22" s="1" t="s">
        <v>1</v>
      </c>
      <c r="F22" s="1">
        <f t="shared" si="0"/>
        <v>27</v>
      </c>
      <c r="G22" s="1">
        <f t="shared" si="1"/>
        <v>48</v>
      </c>
      <c r="H22" s="3" t="s">
        <v>77</v>
      </c>
      <c r="I22" s="3">
        <v>4</v>
      </c>
      <c r="J22" s="3" t="s">
        <v>89</v>
      </c>
      <c r="K22" s="3" t="s">
        <v>101</v>
      </c>
      <c r="L22" s="3">
        <v>13</v>
      </c>
      <c r="M22" s="3" t="s">
        <v>103</v>
      </c>
      <c r="N22" s="3" t="s">
        <v>123</v>
      </c>
      <c r="O22" s="3">
        <v>10</v>
      </c>
      <c r="P22" s="3" t="s">
        <v>161</v>
      </c>
      <c r="Q22" s="3" t="s">
        <v>127</v>
      </c>
      <c r="R22" s="3">
        <v>0</v>
      </c>
      <c r="S22" s="3" t="s">
        <v>159</v>
      </c>
      <c r="T22" s="3" t="s">
        <v>140</v>
      </c>
      <c r="U22" s="3">
        <v>0</v>
      </c>
      <c r="V22" s="3" t="s">
        <v>159</v>
      </c>
    </row>
    <row r="23" spans="1:22" hidden="1">
      <c r="A23" s="1">
        <v>22023</v>
      </c>
      <c r="B23" s="1" t="s">
        <v>0</v>
      </c>
      <c r="C23" s="1">
        <v>22</v>
      </c>
      <c r="D23" s="1" t="s">
        <v>24</v>
      </c>
      <c r="E23" s="1" t="s">
        <v>1</v>
      </c>
      <c r="F23" s="1">
        <f t="shared" si="0"/>
        <v>43</v>
      </c>
      <c r="G23" s="1">
        <f t="shared" si="1"/>
        <v>77</v>
      </c>
      <c r="H23" s="3" t="s">
        <v>77</v>
      </c>
      <c r="I23" s="3">
        <v>4</v>
      </c>
      <c r="J23" s="3" t="s">
        <v>88</v>
      </c>
      <c r="K23" s="3" t="s">
        <v>101</v>
      </c>
      <c r="L23" s="3">
        <v>12</v>
      </c>
      <c r="M23" s="3" t="s">
        <v>109</v>
      </c>
      <c r="N23" s="3" t="s">
        <v>123</v>
      </c>
      <c r="O23" s="3">
        <v>10</v>
      </c>
      <c r="P23" s="3" t="s">
        <v>161</v>
      </c>
      <c r="Q23" s="3" t="s">
        <v>127</v>
      </c>
      <c r="R23" s="3">
        <v>8</v>
      </c>
      <c r="S23" s="3" t="s">
        <v>161</v>
      </c>
      <c r="T23" s="3" t="s">
        <v>140</v>
      </c>
      <c r="U23" s="3">
        <v>9</v>
      </c>
      <c r="V23" s="3" t="s">
        <v>141</v>
      </c>
    </row>
    <row r="24" spans="1:22" hidden="1">
      <c r="A24" s="1">
        <v>24125</v>
      </c>
      <c r="B24" s="1" t="s">
        <v>0</v>
      </c>
      <c r="C24" s="1">
        <v>23</v>
      </c>
      <c r="D24" s="1" t="s">
        <v>25</v>
      </c>
      <c r="E24" s="1" t="s">
        <v>3</v>
      </c>
      <c r="F24" s="1">
        <f t="shared" si="0"/>
        <v>18</v>
      </c>
      <c r="G24" s="1">
        <f t="shared" si="1"/>
        <v>32</v>
      </c>
      <c r="H24" s="3" t="s">
        <v>77</v>
      </c>
      <c r="I24" s="3">
        <v>8</v>
      </c>
      <c r="J24" s="3" t="s">
        <v>78</v>
      </c>
      <c r="K24" s="3" t="s">
        <v>101</v>
      </c>
      <c r="L24" s="3">
        <v>0</v>
      </c>
      <c r="M24" s="3" t="s">
        <v>159</v>
      </c>
      <c r="N24" s="3" t="s">
        <v>123</v>
      </c>
      <c r="O24" s="3">
        <v>10</v>
      </c>
      <c r="P24" s="3" t="s">
        <v>161</v>
      </c>
      <c r="Q24" s="3" t="s">
        <v>127</v>
      </c>
      <c r="R24" s="3">
        <v>0</v>
      </c>
      <c r="S24" s="3" t="s">
        <v>159</v>
      </c>
      <c r="T24" s="3" t="s">
        <v>140</v>
      </c>
      <c r="U24" s="3">
        <v>0</v>
      </c>
      <c r="V24" s="3" t="s">
        <v>159</v>
      </c>
    </row>
    <row r="25" spans="1:22" hidden="1">
      <c r="A25" s="1">
        <v>20051</v>
      </c>
      <c r="B25" s="1" t="s">
        <v>0</v>
      </c>
      <c r="C25" s="1">
        <v>24</v>
      </c>
      <c r="D25" s="1" t="s">
        <v>26</v>
      </c>
      <c r="E25" s="1" t="s">
        <v>1</v>
      </c>
      <c r="F25" s="1">
        <f t="shared" si="0"/>
        <v>37</v>
      </c>
      <c r="G25" s="1">
        <f t="shared" si="1"/>
        <v>66</v>
      </c>
      <c r="H25" s="3" t="s">
        <v>77</v>
      </c>
      <c r="I25" s="3">
        <v>0</v>
      </c>
      <c r="J25" s="3" t="s">
        <v>159</v>
      </c>
      <c r="K25" s="3" t="s">
        <v>101</v>
      </c>
      <c r="L25" s="3">
        <v>10</v>
      </c>
      <c r="M25" s="3" t="s">
        <v>102</v>
      </c>
      <c r="N25" s="3" t="s">
        <v>123</v>
      </c>
      <c r="O25" s="3">
        <v>10</v>
      </c>
      <c r="P25" s="3" t="s">
        <v>161</v>
      </c>
      <c r="Q25" s="3" t="s">
        <v>127</v>
      </c>
      <c r="R25" s="3">
        <v>8</v>
      </c>
      <c r="S25" s="3" t="s">
        <v>161</v>
      </c>
      <c r="T25" s="3" t="s">
        <v>140</v>
      </c>
      <c r="U25" s="3">
        <v>9</v>
      </c>
      <c r="V25" s="3" t="s">
        <v>141</v>
      </c>
    </row>
    <row r="26" spans="1:22" hidden="1">
      <c r="A26" s="1">
        <v>22025</v>
      </c>
      <c r="B26" s="1" t="s">
        <v>0</v>
      </c>
      <c r="C26" s="1">
        <v>25</v>
      </c>
      <c r="D26" s="1" t="s">
        <v>27</v>
      </c>
      <c r="E26" s="1" t="s">
        <v>1</v>
      </c>
      <c r="F26" s="1">
        <f t="shared" si="0"/>
        <v>37</v>
      </c>
      <c r="G26" s="1">
        <f t="shared" si="1"/>
        <v>66</v>
      </c>
      <c r="H26" s="3" t="s">
        <v>77</v>
      </c>
      <c r="I26" s="3">
        <v>8</v>
      </c>
      <c r="J26" s="3" t="s">
        <v>80</v>
      </c>
      <c r="K26" s="3" t="s">
        <v>101</v>
      </c>
      <c r="L26" s="3">
        <v>9</v>
      </c>
      <c r="M26" s="3" t="s">
        <v>102</v>
      </c>
      <c r="N26" s="3" t="s">
        <v>123</v>
      </c>
      <c r="O26" s="3">
        <v>8</v>
      </c>
      <c r="P26" s="3" t="s">
        <v>161</v>
      </c>
      <c r="Q26" s="3" t="s">
        <v>127</v>
      </c>
      <c r="R26" s="3">
        <v>6</v>
      </c>
      <c r="S26" s="3" t="s">
        <v>133</v>
      </c>
      <c r="T26" s="3" t="s">
        <v>140</v>
      </c>
      <c r="U26" s="3">
        <v>6</v>
      </c>
      <c r="V26" s="3" t="s">
        <v>146</v>
      </c>
    </row>
    <row r="27" spans="1:22">
      <c r="A27" s="1">
        <v>22026</v>
      </c>
      <c r="B27" s="1" t="s">
        <v>0</v>
      </c>
      <c r="C27" s="1">
        <v>26</v>
      </c>
      <c r="D27" s="1" t="s">
        <v>28</v>
      </c>
      <c r="E27" s="1" t="s">
        <v>3</v>
      </c>
      <c r="F27" s="1">
        <f t="shared" si="0"/>
        <v>51</v>
      </c>
      <c r="G27" s="1">
        <f t="shared" si="1"/>
        <v>91</v>
      </c>
      <c r="H27" s="3" t="s">
        <v>77</v>
      </c>
      <c r="I27" s="3">
        <v>8</v>
      </c>
      <c r="J27" s="3" t="s">
        <v>80</v>
      </c>
      <c r="K27" s="3" t="s">
        <v>101</v>
      </c>
      <c r="L27" s="3">
        <v>15</v>
      </c>
      <c r="M27" s="3" t="s">
        <v>103</v>
      </c>
      <c r="N27" s="3" t="s">
        <v>123</v>
      </c>
      <c r="O27" s="3">
        <v>10</v>
      </c>
      <c r="P27" s="3" t="s">
        <v>161</v>
      </c>
      <c r="Q27" s="3" t="s">
        <v>127</v>
      </c>
      <c r="R27" s="3">
        <v>8</v>
      </c>
      <c r="S27" s="3" t="s">
        <v>161</v>
      </c>
      <c r="T27" s="3" t="s">
        <v>140</v>
      </c>
      <c r="U27" s="3">
        <v>10</v>
      </c>
      <c r="V27" s="3" t="s">
        <v>161</v>
      </c>
    </row>
    <row r="28" spans="1:22" hidden="1">
      <c r="A28" s="1">
        <v>22027</v>
      </c>
      <c r="B28" s="1" t="s">
        <v>0</v>
      </c>
      <c r="C28" s="1">
        <v>27</v>
      </c>
      <c r="D28" s="1" t="s">
        <v>29</v>
      </c>
      <c r="E28" s="1" t="s">
        <v>1</v>
      </c>
      <c r="F28" s="1">
        <f t="shared" si="0"/>
        <v>37</v>
      </c>
      <c r="G28" s="1">
        <f t="shared" si="1"/>
        <v>66</v>
      </c>
      <c r="H28" s="3" t="s">
        <v>77</v>
      </c>
      <c r="I28" s="3">
        <v>0</v>
      </c>
      <c r="J28" s="3" t="s">
        <v>159</v>
      </c>
      <c r="K28" s="3" t="s">
        <v>101</v>
      </c>
      <c r="L28" s="3">
        <v>13</v>
      </c>
      <c r="M28" s="3" t="s">
        <v>110</v>
      </c>
      <c r="N28" s="3" t="s">
        <v>123</v>
      </c>
      <c r="O28" s="3">
        <v>10</v>
      </c>
      <c r="P28" s="3" t="s">
        <v>161</v>
      </c>
      <c r="Q28" s="3" t="s">
        <v>127</v>
      </c>
      <c r="R28" s="3">
        <v>7</v>
      </c>
      <c r="S28" s="3" t="s">
        <v>161</v>
      </c>
      <c r="T28" s="3" t="s">
        <v>140</v>
      </c>
      <c r="U28" s="3">
        <v>7</v>
      </c>
      <c r="V28" s="3" t="s">
        <v>141</v>
      </c>
    </row>
    <row r="29" spans="1:22">
      <c r="A29" s="1">
        <v>22028</v>
      </c>
      <c r="B29" s="1" t="s">
        <v>0</v>
      </c>
      <c r="C29" s="1">
        <v>28</v>
      </c>
      <c r="D29" s="1" t="s">
        <v>30</v>
      </c>
      <c r="E29" s="1" t="s">
        <v>3</v>
      </c>
      <c r="F29" s="1">
        <f t="shared" si="0"/>
        <v>36</v>
      </c>
      <c r="G29" s="1">
        <f t="shared" si="1"/>
        <v>64</v>
      </c>
      <c r="H29" s="3" t="s">
        <v>77</v>
      </c>
      <c r="I29" s="3">
        <v>8</v>
      </c>
      <c r="J29" s="3" t="s">
        <v>80</v>
      </c>
      <c r="K29" s="3" t="s">
        <v>101</v>
      </c>
      <c r="L29" s="3">
        <v>0</v>
      </c>
      <c r="M29" s="3" t="s">
        <v>159</v>
      </c>
      <c r="N29" s="3" t="s">
        <v>123</v>
      </c>
      <c r="O29" s="3">
        <v>10</v>
      </c>
      <c r="P29" s="3" t="s">
        <v>161</v>
      </c>
      <c r="Q29" s="3" t="s">
        <v>127</v>
      </c>
      <c r="R29" s="3">
        <v>8</v>
      </c>
      <c r="S29" s="3" t="s">
        <v>161</v>
      </c>
      <c r="T29" s="3" t="s">
        <v>140</v>
      </c>
      <c r="U29" s="3">
        <v>10</v>
      </c>
      <c r="V29" s="3" t="s">
        <v>161</v>
      </c>
    </row>
    <row r="30" spans="1:22" hidden="1">
      <c r="A30" s="1">
        <v>22029</v>
      </c>
      <c r="B30" s="1" t="s">
        <v>0</v>
      </c>
      <c r="C30" s="1">
        <v>29</v>
      </c>
      <c r="D30" s="1" t="s">
        <v>31</v>
      </c>
      <c r="E30" s="1" t="s">
        <v>3</v>
      </c>
      <c r="F30" s="1">
        <f t="shared" si="0"/>
        <v>49</v>
      </c>
      <c r="G30" s="1">
        <f t="shared" si="1"/>
        <v>88</v>
      </c>
      <c r="H30" s="3" t="s">
        <v>77</v>
      </c>
      <c r="I30" s="3">
        <v>6</v>
      </c>
      <c r="J30" s="3" t="s">
        <v>85</v>
      </c>
      <c r="K30" s="3" t="s">
        <v>101</v>
      </c>
      <c r="L30" s="3">
        <v>13</v>
      </c>
      <c r="M30" s="3" t="s">
        <v>103</v>
      </c>
      <c r="N30" s="3" t="s">
        <v>123</v>
      </c>
      <c r="O30" s="3">
        <v>10</v>
      </c>
      <c r="P30" s="3" t="s">
        <v>161</v>
      </c>
      <c r="Q30" s="3" t="s">
        <v>127</v>
      </c>
      <c r="R30" s="3">
        <v>10</v>
      </c>
      <c r="S30" s="3" t="s">
        <v>161</v>
      </c>
      <c r="T30" s="3" t="s">
        <v>140</v>
      </c>
      <c r="U30" s="3">
        <v>10</v>
      </c>
      <c r="V30" s="3" t="s">
        <v>161</v>
      </c>
    </row>
    <row r="31" spans="1:22">
      <c r="A31" s="1">
        <v>24163</v>
      </c>
      <c r="B31" s="1" t="s">
        <v>0</v>
      </c>
      <c r="C31" s="1">
        <v>30</v>
      </c>
      <c r="D31" s="1" t="s">
        <v>32</v>
      </c>
      <c r="E31" s="1" t="s">
        <v>3</v>
      </c>
      <c r="F31" s="1">
        <f t="shared" si="0"/>
        <v>23</v>
      </c>
      <c r="G31" s="1">
        <f t="shared" si="1"/>
        <v>41</v>
      </c>
      <c r="H31" s="3" t="s">
        <v>77</v>
      </c>
      <c r="I31" s="3">
        <v>6</v>
      </c>
      <c r="J31" s="3" t="s">
        <v>81</v>
      </c>
      <c r="K31" s="3" t="s">
        <v>101</v>
      </c>
      <c r="L31" s="3">
        <v>0</v>
      </c>
      <c r="M31" s="3" t="s">
        <v>159</v>
      </c>
      <c r="N31" s="3" t="s">
        <v>123</v>
      </c>
      <c r="O31" s="3">
        <v>7</v>
      </c>
      <c r="P31" s="3" t="s">
        <v>161</v>
      </c>
      <c r="Q31" s="3" t="s">
        <v>127</v>
      </c>
      <c r="R31" s="3">
        <v>0</v>
      </c>
      <c r="S31" s="3" t="s">
        <v>159</v>
      </c>
      <c r="T31" s="3" t="s">
        <v>140</v>
      </c>
      <c r="U31" s="3">
        <v>10</v>
      </c>
      <c r="V31" s="3" t="s">
        <v>161</v>
      </c>
    </row>
    <row r="32" spans="1:22" hidden="1">
      <c r="A32" s="1">
        <v>22030</v>
      </c>
      <c r="B32" s="1" t="s">
        <v>0</v>
      </c>
      <c r="C32" s="1">
        <v>31</v>
      </c>
      <c r="D32" s="1" t="s">
        <v>33</v>
      </c>
      <c r="E32" s="1" t="s">
        <v>3</v>
      </c>
      <c r="F32" s="1">
        <f t="shared" si="0"/>
        <v>39</v>
      </c>
      <c r="G32" s="1">
        <f t="shared" si="1"/>
        <v>70</v>
      </c>
      <c r="H32" s="3" t="s">
        <v>77</v>
      </c>
      <c r="I32" s="3">
        <v>7</v>
      </c>
      <c r="J32" s="3" t="s">
        <v>84</v>
      </c>
      <c r="K32" s="3" t="s">
        <v>101</v>
      </c>
      <c r="L32" s="3">
        <v>15</v>
      </c>
      <c r="M32" s="3" t="s">
        <v>103</v>
      </c>
      <c r="N32" s="3" t="s">
        <v>123</v>
      </c>
      <c r="O32" s="3">
        <v>0</v>
      </c>
      <c r="P32" s="3" t="s">
        <v>159</v>
      </c>
      <c r="Q32" s="3" t="s">
        <v>127</v>
      </c>
      <c r="R32" s="3">
        <v>7</v>
      </c>
      <c r="S32" s="3" t="s">
        <v>161</v>
      </c>
      <c r="T32" s="3" t="s">
        <v>140</v>
      </c>
      <c r="U32" s="3">
        <v>10</v>
      </c>
      <c r="V32" s="3" t="s">
        <v>161</v>
      </c>
    </row>
    <row r="33" spans="1:22" hidden="1">
      <c r="A33" s="1">
        <v>22031</v>
      </c>
      <c r="B33" s="1" t="s">
        <v>0</v>
      </c>
      <c r="C33" s="1">
        <v>32</v>
      </c>
      <c r="D33" s="1" t="s">
        <v>34</v>
      </c>
      <c r="E33" s="1" t="s">
        <v>1</v>
      </c>
      <c r="F33" s="1">
        <f t="shared" si="0"/>
        <v>37</v>
      </c>
      <c r="G33" s="1">
        <f t="shared" si="1"/>
        <v>66</v>
      </c>
      <c r="H33" s="3" t="s">
        <v>77</v>
      </c>
      <c r="I33" s="3">
        <v>5</v>
      </c>
      <c r="J33" s="3" t="s">
        <v>85</v>
      </c>
      <c r="K33" s="3" t="s">
        <v>101</v>
      </c>
      <c r="L33" s="3">
        <v>15</v>
      </c>
      <c r="M33" s="3" t="s">
        <v>161</v>
      </c>
      <c r="N33" s="3" t="s">
        <v>123</v>
      </c>
      <c r="O33" s="3">
        <v>0</v>
      </c>
      <c r="P33" s="3" t="s">
        <v>159</v>
      </c>
      <c r="Q33" s="3" t="s">
        <v>127</v>
      </c>
      <c r="R33" s="3">
        <v>7</v>
      </c>
      <c r="S33" s="3" t="s">
        <v>131</v>
      </c>
      <c r="T33" s="3" t="s">
        <v>140</v>
      </c>
      <c r="U33" s="3">
        <v>10</v>
      </c>
      <c r="V33" s="3" t="s">
        <v>161</v>
      </c>
    </row>
    <row r="34" spans="1:22" hidden="1">
      <c r="A34" s="1">
        <v>24160</v>
      </c>
      <c r="B34" s="1" t="s">
        <v>0</v>
      </c>
      <c r="C34" s="1">
        <v>33</v>
      </c>
      <c r="D34" s="1" t="s">
        <v>35</v>
      </c>
      <c r="E34" s="1" t="s">
        <v>1</v>
      </c>
      <c r="F34" s="1">
        <f t="shared" si="0"/>
        <v>28</v>
      </c>
      <c r="G34" s="1">
        <f t="shared" si="1"/>
        <v>50</v>
      </c>
      <c r="H34" s="3" t="s">
        <v>77</v>
      </c>
      <c r="I34" s="3">
        <v>5</v>
      </c>
      <c r="J34" s="3" t="s">
        <v>85</v>
      </c>
      <c r="K34" s="3" t="s">
        <v>101</v>
      </c>
      <c r="L34" s="3">
        <v>7</v>
      </c>
      <c r="M34" s="3" t="s">
        <v>111</v>
      </c>
      <c r="N34" s="3" t="s">
        <v>123</v>
      </c>
      <c r="O34" s="3">
        <v>0</v>
      </c>
      <c r="P34" s="3" t="s">
        <v>159</v>
      </c>
      <c r="Q34" s="3" t="s">
        <v>127</v>
      </c>
      <c r="R34" s="3">
        <v>6</v>
      </c>
      <c r="S34" s="3" t="s">
        <v>134</v>
      </c>
      <c r="T34" s="3" t="s">
        <v>140</v>
      </c>
      <c r="U34" s="3">
        <v>10</v>
      </c>
      <c r="V34" s="3" t="s">
        <v>161</v>
      </c>
    </row>
    <row r="35" spans="1:22">
      <c r="A35" s="1">
        <v>22032</v>
      </c>
      <c r="B35" s="1" t="s">
        <v>36</v>
      </c>
      <c r="C35" s="1">
        <v>1</v>
      </c>
      <c r="D35" s="1" t="s">
        <v>37</v>
      </c>
      <c r="E35" s="1" t="s">
        <v>1</v>
      </c>
      <c r="F35" s="1">
        <f t="shared" si="0"/>
        <v>52</v>
      </c>
      <c r="G35" s="1">
        <f t="shared" si="1"/>
        <v>93</v>
      </c>
      <c r="H35" s="3" t="s">
        <v>77</v>
      </c>
      <c r="I35" s="3">
        <v>8</v>
      </c>
      <c r="J35" s="3" t="s">
        <v>90</v>
      </c>
      <c r="K35" s="3" t="s">
        <v>101</v>
      </c>
      <c r="L35" s="3">
        <v>17</v>
      </c>
      <c r="M35" s="3" t="s">
        <v>161</v>
      </c>
      <c r="N35" s="3" t="s">
        <v>123</v>
      </c>
      <c r="O35" s="3">
        <v>10</v>
      </c>
      <c r="P35" s="3" t="s">
        <v>161</v>
      </c>
      <c r="Q35" s="3" t="s">
        <v>127</v>
      </c>
      <c r="R35" s="3">
        <v>8</v>
      </c>
      <c r="S35" s="3" t="s">
        <v>161</v>
      </c>
      <c r="T35" s="3" t="s">
        <v>140</v>
      </c>
      <c r="U35" s="3">
        <v>9</v>
      </c>
      <c r="V35" s="3" t="s">
        <v>161</v>
      </c>
    </row>
    <row r="36" spans="1:22">
      <c r="A36" s="1">
        <v>23161</v>
      </c>
      <c r="B36" s="1" t="s">
        <v>36</v>
      </c>
      <c r="C36" s="1">
        <v>2</v>
      </c>
      <c r="D36" s="1" t="s">
        <v>38</v>
      </c>
      <c r="E36" s="1" t="s">
        <v>1</v>
      </c>
      <c r="F36" s="1">
        <f t="shared" si="0"/>
        <v>36</v>
      </c>
      <c r="G36" s="1">
        <f t="shared" si="1"/>
        <v>64</v>
      </c>
      <c r="H36" s="3" t="s">
        <v>77</v>
      </c>
      <c r="I36" s="3">
        <v>7</v>
      </c>
      <c r="J36" s="3" t="s">
        <v>91</v>
      </c>
      <c r="K36" s="3" t="s">
        <v>101</v>
      </c>
      <c r="L36" s="3">
        <v>13</v>
      </c>
      <c r="M36" s="3" t="s">
        <v>112</v>
      </c>
      <c r="N36" s="3" t="s">
        <v>123</v>
      </c>
      <c r="O36" s="3">
        <v>8</v>
      </c>
      <c r="P36" s="3" t="s">
        <v>124</v>
      </c>
      <c r="Q36" s="3" t="s">
        <v>127</v>
      </c>
      <c r="R36" s="3">
        <v>0</v>
      </c>
      <c r="S36" s="3" t="s">
        <v>159</v>
      </c>
      <c r="T36" s="3" t="s">
        <v>140</v>
      </c>
      <c r="U36" s="3">
        <v>8</v>
      </c>
      <c r="V36" s="3" t="s">
        <v>147</v>
      </c>
    </row>
    <row r="37" spans="1:22">
      <c r="A37" s="1">
        <v>22033</v>
      </c>
      <c r="B37" s="1" t="s">
        <v>36</v>
      </c>
      <c r="C37" s="1">
        <v>3</v>
      </c>
      <c r="D37" s="1" t="s">
        <v>39</v>
      </c>
      <c r="E37" s="1" t="s">
        <v>3</v>
      </c>
      <c r="F37" s="1">
        <f t="shared" si="0"/>
        <v>52</v>
      </c>
      <c r="G37" s="1">
        <f t="shared" si="1"/>
        <v>93</v>
      </c>
      <c r="H37" s="3" t="s">
        <v>77</v>
      </c>
      <c r="I37" s="3">
        <v>10</v>
      </c>
      <c r="J37" s="3" t="s">
        <v>162</v>
      </c>
      <c r="K37" s="3" t="s">
        <v>101</v>
      </c>
      <c r="L37" s="3">
        <v>16</v>
      </c>
      <c r="M37" s="3" t="s">
        <v>161</v>
      </c>
      <c r="N37" s="3" t="s">
        <v>123</v>
      </c>
      <c r="O37" s="3">
        <v>10</v>
      </c>
      <c r="P37" s="3" t="s">
        <v>161</v>
      </c>
      <c r="Q37" s="3" t="s">
        <v>127</v>
      </c>
      <c r="R37" s="3">
        <v>8</v>
      </c>
      <c r="S37" s="3" t="s">
        <v>161</v>
      </c>
      <c r="T37" s="3" t="s">
        <v>140</v>
      </c>
      <c r="U37" s="3">
        <v>8</v>
      </c>
      <c r="V37" s="3" t="s">
        <v>148</v>
      </c>
    </row>
    <row r="38" spans="1:22" hidden="1">
      <c r="A38" s="1">
        <v>22036</v>
      </c>
      <c r="B38" s="1" t="s">
        <v>36</v>
      </c>
      <c r="C38" s="1">
        <v>4</v>
      </c>
      <c r="D38" s="1" t="s">
        <v>40</v>
      </c>
      <c r="E38" s="1" t="s">
        <v>1</v>
      </c>
      <c r="F38" s="1">
        <f t="shared" si="0"/>
        <v>44</v>
      </c>
      <c r="G38" s="1">
        <f t="shared" si="1"/>
        <v>79</v>
      </c>
      <c r="H38" s="3" t="s">
        <v>77</v>
      </c>
      <c r="I38" s="3">
        <v>6</v>
      </c>
      <c r="J38" s="3" t="s">
        <v>81</v>
      </c>
      <c r="K38" s="3" t="s">
        <v>101</v>
      </c>
      <c r="L38" s="3">
        <v>16</v>
      </c>
      <c r="M38" s="3" t="s">
        <v>113</v>
      </c>
      <c r="N38" s="3" t="s">
        <v>123</v>
      </c>
      <c r="O38" s="3">
        <v>10</v>
      </c>
      <c r="P38" s="3" t="s">
        <v>161</v>
      </c>
      <c r="Q38" s="3" t="s">
        <v>127</v>
      </c>
      <c r="R38" s="3">
        <v>7</v>
      </c>
      <c r="S38" s="3" t="s">
        <v>135</v>
      </c>
      <c r="T38" s="3" t="s">
        <v>140</v>
      </c>
      <c r="U38" s="3">
        <v>5</v>
      </c>
      <c r="V38" s="3" t="s">
        <v>149</v>
      </c>
    </row>
    <row r="39" spans="1:22">
      <c r="A39" s="1">
        <v>22038</v>
      </c>
      <c r="B39" s="1" t="s">
        <v>36</v>
      </c>
      <c r="C39" s="1">
        <v>5</v>
      </c>
      <c r="D39" s="1" t="s">
        <v>41</v>
      </c>
      <c r="E39" s="1" t="s">
        <v>1</v>
      </c>
      <c r="F39" s="1">
        <f t="shared" si="0"/>
        <v>36</v>
      </c>
      <c r="G39" s="1">
        <f t="shared" si="1"/>
        <v>64</v>
      </c>
      <c r="H39" s="3" t="s">
        <v>77</v>
      </c>
      <c r="I39" s="3">
        <v>9</v>
      </c>
      <c r="J39" s="3" t="s">
        <v>78</v>
      </c>
      <c r="K39" s="3" t="s">
        <v>101</v>
      </c>
      <c r="L39" s="3">
        <v>17</v>
      </c>
      <c r="M39" s="3" t="s">
        <v>161</v>
      </c>
      <c r="N39" s="3" t="s">
        <v>123</v>
      </c>
      <c r="O39" s="3">
        <v>5</v>
      </c>
      <c r="P39" s="3" t="s">
        <v>125</v>
      </c>
      <c r="Q39" s="3" t="s">
        <v>127</v>
      </c>
      <c r="R39" s="3">
        <v>5</v>
      </c>
      <c r="S39" s="3" t="s">
        <v>136</v>
      </c>
      <c r="T39" s="3" t="s">
        <v>140</v>
      </c>
      <c r="U39" s="3">
        <v>0</v>
      </c>
      <c r="V39" s="3" t="s">
        <v>159</v>
      </c>
    </row>
    <row r="40" spans="1:22" hidden="1">
      <c r="A40" s="1">
        <v>22040</v>
      </c>
      <c r="B40" s="1" t="s">
        <v>36</v>
      </c>
      <c r="C40" s="1">
        <v>6</v>
      </c>
      <c r="D40" s="1" t="s">
        <v>42</v>
      </c>
      <c r="E40" s="1" t="s">
        <v>3</v>
      </c>
      <c r="F40" s="1">
        <f t="shared" si="0"/>
        <v>49</v>
      </c>
      <c r="G40" s="1">
        <f t="shared" si="1"/>
        <v>88</v>
      </c>
      <c r="H40" s="3" t="s">
        <v>77</v>
      </c>
      <c r="I40" s="3">
        <v>9</v>
      </c>
      <c r="J40" s="3" t="s">
        <v>92</v>
      </c>
      <c r="K40" s="3" t="s">
        <v>101</v>
      </c>
      <c r="L40" s="3">
        <v>16</v>
      </c>
      <c r="M40" s="3" t="s">
        <v>103</v>
      </c>
      <c r="N40" s="3" t="s">
        <v>123</v>
      </c>
      <c r="O40" s="3">
        <v>8</v>
      </c>
      <c r="P40" s="3" t="s">
        <v>124</v>
      </c>
      <c r="Q40" s="3" t="s">
        <v>127</v>
      </c>
      <c r="R40" s="3">
        <v>6</v>
      </c>
      <c r="S40" s="3" t="s">
        <v>130</v>
      </c>
      <c r="T40" s="3" t="s">
        <v>140</v>
      </c>
      <c r="U40" s="3">
        <v>10</v>
      </c>
      <c r="V40" s="3" t="s">
        <v>161</v>
      </c>
    </row>
    <row r="41" spans="1:22">
      <c r="A41" s="1">
        <v>22041</v>
      </c>
      <c r="B41" s="1" t="s">
        <v>36</v>
      </c>
      <c r="C41" s="1">
        <v>7</v>
      </c>
      <c r="D41" s="1" t="s">
        <v>43</v>
      </c>
      <c r="E41" s="1" t="s">
        <v>1</v>
      </c>
      <c r="F41" s="1">
        <f t="shared" si="0"/>
        <v>23</v>
      </c>
      <c r="G41" s="1">
        <f t="shared" si="1"/>
        <v>41</v>
      </c>
      <c r="H41" s="3" t="s">
        <v>77</v>
      </c>
      <c r="I41" s="3">
        <v>5</v>
      </c>
      <c r="J41" s="3" t="s">
        <v>93</v>
      </c>
      <c r="K41" s="3" t="s">
        <v>101</v>
      </c>
      <c r="L41" s="3">
        <v>10</v>
      </c>
      <c r="M41" s="3" t="s">
        <v>102</v>
      </c>
      <c r="N41" s="3" t="s">
        <v>123</v>
      </c>
      <c r="O41" s="3">
        <v>8</v>
      </c>
      <c r="P41" s="3" t="s">
        <v>124</v>
      </c>
      <c r="Q41" s="3" t="s">
        <v>127</v>
      </c>
      <c r="R41" s="3">
        <v>0</v>
      </c>
      <c r="S41" s="3" t="s">
        <v>159</v>
      </c>
      <c r="T41" s="3" t="s">
        <v>140</v>
      </c>
      <c r="U41" s="3">
        <v>0</v>
      </c>
      <c r="V41" s="3" t="s">
        <v>159</v>
      </c>
    </row>
    <row r="42" spans="1:22" hidden="1">
      <c r="A42" s="1">
        <v>22043</v>
      </c>
      <c r="B42" s="1" t="s">
        <v>36</v>
      </c>
      <c r="C42" s="1">
        <v>8</v>
      </c>
      <c r="D42" s="1" t="s">
        <v>44</v>
      </c>
      <c r="E42" s="1" t="s">
        <v>3</v>
      </c>
      <c r="F42" s="1">
        <f t="shared" si="0"/>
        <v>27</v>
      </c>
      <c r="G42" s="1">
        <f t="shared" si="1"/>
        <v>48</v>
      </c>
      <c r="H42" s="3" t="s">
        <v>77</v>
      </c>
      <c r="I42" s="3">
        <v>2</v>
      </c>
      <c r="J42" s="3" t="s">
        <v>94</v>
      </c>
      <c r="K42" s="3" t="s">
        <v>101</v>
      </c>
      <c r="L42" s="3">
        <v>15</v>
      </c>
      <c r="M42" s="3" t="s">
        <v>103</v>
      </c>
      <c r="N42" s="3" t="s">
        <v>123</v>
      </c>
      <c r="O42" s="3">
        <v>10</v>
      </c>
      <c r="P42" s="3" t="s">
        <v>161</v>
      </c>
      <c r="Q42" s="3" t="s">
        <v>127</v>
      </c>
      <c r="R42" s="3">
        <v>0</v>
      </c>
      <c r="S42" s="3" t="s">
        <v>159</v>
      </c>
      <c r="T42" s="3" t="s">
        <v>140</v>
      </c>
      <c r="U42" s="3">
        <v>0</v>
      </c>
      <c r="V42" s="3" t="s">
        <v>159</v>
      </c>
    </row>
    <row r="43" spans="1:22">
      <c r="A43" s="1">
        <v>22044</v>
      </c>
      <c r="B43" s="1" t="s">
        <v>36</v>
      </c>
      <c r="C43" s="1">
        <v>9</v>
      </c>
      <c r="D43" s="1" t="s">
        <v>45</v>
      </c>
      <c r="E43" s="1" t="s">
        <v>3</v>
      </c>
      <c r="F43" s="1">
        <f t="shared" si="0"/>
        <v>24</v>
      </c>
      <c r="G43" s="1">
        <f t="shared" si="1"/>
        <v>43</v>
      </c>
      <c r="H43" s="3" t="s">
        <v>77</v>
      </c>
      <c r="I43" s="3">
        <v>2</v>
      </c>
      <c r="J43" s="3" t="s">
        <v>95</v>
      </c>
      <c r="K43" s="3" t="s">
        <v>101</v>
      </c>
      <c r="L43" s="3">
        <v>12</v>
      </c>
      <c r="M43" s="3" t="s">
        <v>110</v>
      </c>
      <c r="N43" s="3" t="s">
        <v>123</v>
      </c>
      <c r="O43" s="3">
        <v>10</v>
      </c>
      <c r="P43" s="3" t="s">
        <v>161</v>
      </c>
      <c r="Q43" s="3" t="s">
        <v>127</v>
      </c>
      <c r="R43" s="3">
        <v>0</v>
      </c>
      <c r="S43" s="3" t="s">
        <v>159</v>
      </c>
      <c r="T43" s="3" t="s">
        <v>140</v>
      </c>
      <c r="U43" s="3">
        <v>0</v>
      </c>
      <c r="V43" s="3" t="s">
        <v>159</v>
      </c>
    </row>
    <row r="44" spans="1:22" hidden="1">
      <c r="A44" s="1">
        <v>23131</v>
      </c>
      <c r="B44" s="1" t="s">
        <v>36</v>
      </c>
      <c r="C44" s="1">
        <v>10</v>
      </c>
      <c r="D44" s="1" t="s">
        <v>46</v>
      </c>
      <c r="E44" s="1" t="s">
        <v>3</v>
      </c>
      <c r="F44" s="1">
        <f t="shared" si="0"/>
        <v>46</v>
      </c>
      <c r="G44" s="1">
        <f t="shared" si="1"/>
        <v>82</v>
      </c>
      <c r="H44" s="3" t="s">
        <v>77</v>
      </c>
      <c r="I44" s="3">
        <v>6</v>
      </c>
      <c r="J44" s="3" t="s">
        <v>96</v>
      </c>
      <c r="K44" s="3" t="s">
        <v>101</v>
      </c>
      <c r="L44" s="3">
        <v>17</v>
      </c>
      <c r="M44" s="3" t="s">
        <v>161</v>
      </c>
      <c r="N44" s="3" t="s">
        <v>123</v>
      </c>
      <c r="O44" s="3">
        <v>8</v>
      </c>
      <c r="P44" s="3" t="s">
        <v>124</v>
      </c>
      <c r="Q44" s="3" t="s">
        <v>127</v>
      </c>
      <c r="R44" s="3">
        <v>7</v>
      </c>
      <c r="S44" s="3" t="s">
        <v>133</v>
      </c>
      <c r="T44" s="3" t="s">
        <v>140</v>
      </c>
      <c r="U44" s="3">
        <v>8</v>
      </c>
      <c r="V44" s="3" t="s">
        <v>147</v>
      </c>
    </row>
    <row r="45" spans="1:22" hidden="1">
      <c r="A45" s="1">
        <v>22045</v>
      </c>
      <c r="B45" s="1" t="s">
        <v>36</v>
      </c>
      <c r="C45" s="1">
        <v>11</v>
      </c>
      <c r="D45" s="1" t="s">
        <v>47</v>
      </c>
      <c r="E45" s="1" t="s">
        <v>3</v>
      </c>
      <c r="F45" s="1">
        <f t="shared" si="0"/>
        <v>49</v>
      </c>
      <c r="G45" s="1">
        <f t="shared" si="1"/>
        <v>88</v>
      </c>
      <c r="H45" s="3" t="s">
        <v>77</v>
      </c>
      <c r="I45" s="3">
        <v>9</v>
      </c>
      <c r="J45" s="3" t="s">
        <v>92</v>
      </c>
      <c r="K45" s="3" t="s">
        <v>101</v>
      </c>
      <c r="L45" s="3">
        <v>16</v>
      </c>
      <c r="M45" s="3" t="s">
        <v>161</v>
      </c>
      <c r="N45" s="3" t="s">
        <v>123</v>
      </c>
      <c r="O45" s="3">
        <v>10</v>
      </c>
      <c r="P45" s="3" t="s">
        <v>161</v>
      </c>
      <c r="Q45" s="3" t="s">
        <v>127</v>
      </c>
      <c r="R45" s="3">
        <v>6</v>
      </c>
      <c r="S45" s="3" t="s">
        <v>130</v>
      </c>
      <c r="T45" s="3" t="s">
        <v>140</v>
      </c>
      <c r="U45" s="3">
        <v>8</v>
      </c>
      <c r="V45" s="3" t="s">
        <v>147</v>
      </c>
    </row>
    <row r="46" spans="1:22">
      <c r="A46" s="1">
        <v>22046</v>
      </c>
      <c r="B46" s="1" t="s">
        <v>36</v>
      </c>
      <c r="C46" s="1">
        <v>12</v>
      </c>
      <c r="D46" s="1" t="s">
        <v>48</v>
      </c>
      <c r="E46" s="1" t="s">
        <v>1</v>
      </c>
      <c r="F46" s="1">
        <f t="shared" si="0"/>
        <v>51</v>
      </c>
      <c r="G46" s="1">
        <f t="shared" si="1"/>
        <v>91</v>
      </c>
      <c r="H46" s="3" t="s">
        <v>77</v>
      </c>
      <c r="I46" s="3">
        <v>9</v>
      </c>
      <c r="J46" s="3" t="s">
        <v>78</v>
      </c>
      <c r="K46" s="3" t="s">
        <v>101</v>
      </c>
      <c r="L46" s="3">
        <v>17</v>
      </c>
      <c r="M46" s="3" t="s">
        <v>161</v>
      </c>
      <c r="N46" s="3" t="s">
        <v>123</v>
      </c>
      <c r="O46" s="3">
        <v>8</v>
      </c>
      <c r="P46" s="3" t="s">
        <v>124</v>
      </c>
      <c r="Q46" s="3" t="s">
        <v>127</v>
      </c>
      <c r="R46" s="3">
        <v>7</v>
      </c>
      <c r="S46" s="3" t="s">
        <v>161</v>
      </c>
      <c r="T46" s="3" t="s">
        <v>140</v>
      </c>
      <c r="U46" s="3">
        <v>10</v>
      </c>
      <c r="V46" s="3" t="s">
        <v>161</v>
      </c>
    </row>
    <row r="47" spans="1:22" hidden="1">
      <c r="A47" s="1">
        <v>22047</v>
      </c>
      <c r="B47" s="1" t="s">
        <v>36</v>
      </c>
      <c r="C47" s="1">
        <v>13</v>
      </c>
      <c r="D47" s="1" t="s">
        <v>49</v>
      </c>
      <c r="E47" s="1" t="s">
        <v>1</v>
      </c>
      <c r="F47" s="1">
        <f t="shared" si="0"/>
        <v>49</v>
      </c>
      <c r="G47" s="1">
        <f t="shared" si="1"/>
        <v>88</v>
      </c>
      <c r="H47" s="3" t="s">
        <v>77</v>
      </c>
      <c r="I47" s="3">
        <v>10</v>
      </c>
      <c r="J47" s="3" t="s">
        <v>161</v>
      </c>
      <c r="K47" s="3" t="s">
        <v>101</v>
      </c>
      <c r="L47" s="3">
        <v>14</v>
      </c>
      <c r="M47" s="3" t="s">
        <v>103</v>
      </c>
      <c r="N47" s="3" t="s">
        <v>123</v>
      </c>
      <c r="O47" s="3">
        <v>10</v>
      </c>
      <c r="P47" s="3" t="s">
        <v>161</v>
      </c>
      <c r="Q47" s="3" t="s">
        <v>127</v>
      </c>
      <c r="R47" s="3">
        <v>6</v>
      </c>
      <c r="S47" s="3" t="s">
        <v>137</v>
      </c>
      <c r="T47" s="3" t="s">
        <v>140</v>
      </c>
      <c r="U47" s="3">
        <v>9</v>
      </c>
      <c r="V47" s="3" t="s">
        <v>147</v>
      </c>
    </row>
    <row r="48" spans="1:22" hidden="1">
      <c r="A48" s="1">
        <v>24133</v>
      </c>
      <c r="B48" s="1" t="s">
        <v>36</v>
      </c>
      <c r="C48" s="1">
        <v>14</v>
      </c>
      <c r="D48" s="1" t="s">
        <v>50</v>
      </c>
      <c r="E48" s="1" t="s">
        <v>1</v>
      </c>
      <c r="F48" s="1">
        <f t="shared" si="0"/>
        <v>26</v>
      </c>
      <c r="G48" s="1">
        <f t="shared" si="1"/>
        <v>46</v>
      </c>
      <c r="H48" s="3" t="s">
        <v>77</v>
      </c>
      <c r="I48" s="3">
        <v>8</v>
      </c>
      <c r="J48" s="3" t="s">
        <v>97</v>
      </c>
      <c r="K48" s="3" t="s">
        <v>101</v>
      </c>
      <c r="L48" s="3">
        <v>0</v>
      </c>
      <c r="M48" s="3" t="s">
        <v>159</v>
      </c>
      <c r="N48" s="3" t="s">
        <v>123</v>
      </c>
      <c r="O48" s="3">
        <v>10</v>
      </c>
      <c r="P48" s="3" t="s">
        <v>161</v>
      </c>
      <c r="Q48" s="3" t="s">
        <v>127</v>
      </c>
      <c r="R48" s="3">
        <v>0</v>
      </c>
      <c r="S48" s="3" t="s">
        <v>159</v>
      </c>
      <c r="T48" s="3" t="s">
        <v>140</v>
      </c>
      <c r="U48" s="3">
        <v>8</v>
      </c>
      <c r="V48" s="3" t="s">
        <v>141</v>
      </c>
    </row>
    <row r="49" spans="1:22" hidden="1">
      <c r="A49" s="1">
        <v>22048</v>
      </c>
      <c r="B49" s="1" t="s">
        <v>36</v>
      </c>
      <c r="C49" s="1">
        <v>15</v>
      </c>
      <c r="D49" s="1" t="s">
        <v>51</v>
      </c>
      <c r="E49" s="1" t="s">
        <v>3</v>
      </c>
      <c r="F49" s="1">
        <f t="shared" si="0"/>
        <v>49</v>
      </c>
      <c r="G49" s="1">
        <f t="shared" si="1"/>
        <v>88</v>
      </c>
      <c r="H49" s="3" t="s">
        <v>77</v>
      </c>
      <c r="I49" s="3">
        <v>9</v>
      </c>
      <c r="J49" s="3" t="s">
        <v>98</v>
      </c>
      <c r="K49" s="3" t="s">
        <v>101</v>
      </c>
      <c r="L49" s="3">
        <v>17</v>
      </c>
      <c r="M49" s="3" t="s">
        <v>161</v>
      </c>
      <c r="N49" s="3" t="s">
        <v>123</v>
      </c>
      <c r="O49" s="3">
        <v>8</v>
      </c>
      <c r="P49" s="3" t="s">
        <v>124</v>
      </c>
      <c r="Q49" s="3" t="s">
        <v>127</v>
      </c>
      <c r="R49" s="3">
        <v>5</v>
      </c>
      <c r="S49" s="3" t="s">
        <v>136</v>
      </c>
      <c r="T49" s="3" t="s">
        <v>140</v>
      </c>
      <c r="U49" s="3">
        <v>10</v>
      </c>
      <c r="V49" s="3" t="s">
        <v>161</v>
      </c>
    </row>
    <row r="50" spans="1:22" hidden="1">
      <c r="A50" s="1">
        <v>22049</v>
      </c>
      <c r="B50" s="1" t="s">
        <v>36</v>
      </c>
      <c r="C50" s="1">
        <v>16</v>
      </c>
      <c r="D50" s="1" t="s">
        <v>52</v>
      </c>
      <c r="E50" s="1" t="s">
        <v>1</v>
      </c>
      <c r="F50" s="1">
        <f t="shared" si="0"/>
        <v>49</v>
      </c>
      <c r="G50" s="1">
        <f t="shared" si="1"/>
        <v>88</v>
      </c>
      <c r="H50" s="3" t="s">
        <v>77</v>
      </c>
      <c r="I50" s="3">
        <v>7</v>
      </c>
      <c r="J50" s="3" t="s">
        <v>97</v>
      </c>
      <c r="K50" s="3" t="s">
        <v>101</v>
      </c>
      <c r="L50" s="3">
        <v>17</v>
      </c>
      <c r="M50" s="3" t="s">
        <v>161</v>
      </c>
      <c r="N50" s="3" t="s">
        <v>123</v>
      </c>
      <c r="O50" s="3">
        <v>10</v>
      </c>
      <c r="P50" s="3" t="s">
        <v>161</v>
      </c>
      <c r="Q50" s="3" t="s">
        <v>127</v>
      </c>
      <c r="R50" s="3">
        <v>7</v>
      </c>
      <c r="S50" s="3" t="s">
        <v>133</v>
      </c>
      <c r="T50" s="3" t="s">
        <v>140</v>
      </c>
      <c r="U50" s="3">
        <v>8</v>
      </c>
      <c r="V50" s="3" t="s">
        <v>148</v>
      </c>
    </row>
    <row r="51" spans="1:22" hidden="1">
      <c r="A51" s="1">
        <v>24134</v>
      </c>
      <c r="B51" s="1" t="s">
        <v>36</v>
      </c>
      <c r="C51" s="1">
        <v>17</v>
      </c>
      <c r="D51" s="1" t="s">
        <v>53</v>
      </c>
      <c r="E51" s="1" t="s">
        <v>3</v>
      </c>
      <c r="F51" s="1">
        <f t="shared" si="0"/>
        <v>48</v>
      </c>
      <c r="G51" s="1">
        <f t="shared" si="1"/>
        <v>86</v>
      </c>
      <c r="H51" s="3" t="s">
        <v>77</v>
      </c>
      <c r="I51" s="3">
        <v>6</v>
      </c>
      <c r="J51" s="3" t="s">
        <v>81</v>
      </c>
      <c r="K51" s="3" t="s">
        <v>101</v>
      </c>
      <c r="L51" s="3">
        <v>15</v>
      </c>
      <c r="M51" s="3" t="s">
        <v>114</v>
      </c>
      <c r="N51" s="3" t="s">
        <v>123</v>
      </c>
      <c r="O51" s="3">
        <v>10</v>
      </c>
      <c r="P51" s="3" t="s">
        <v>161</v>
      </c>
      <c r="Q51" s="3" t="s">
        <v>127</v>
      </c>
      <c r="R51" s="3">
        <v>8</v>
      </c>
      <c r="S51" s="3" t="s">
        <v>161</v>
      </c>
      <c r="T51" s="3" t="s">
        <v>140</v>
      </c>
      <c r="U51" s="3">
        <v>9</v>
      </c>
      <c r="V51" s="3" t="s">
        <v>147</v>
      </c>
    </row>
    <row r="52" spans="1:22" hidden="1">
      <c r="A52" s="1">
        <v>22050</v>
      </c>
      <c r="B52" s="1" t="s">
        <v>36</v>
      </c>
      <c r="C52" s="1">
        <v>18</v>
      </c>
      <c r="D52" s="1" t="s">
        <v>54</v>
      </c>
      <c r="E52" s="1" t="s">
        <v>1</v>
      </c>
      <c r="F52" s="1">
        <f t="shared" si="0"/>
        <v>47</v>
      </c>
      <c r="G52" s="1">
        <f t="shared" si="1"/>
        <v>84</v>
      </c>
      <c r="H52" s="3" t="s">
        <v>77</v>
      </c>
      <c r="I52" s="3">
        <v>5</v>
      </c>
      <c r="J52" s="3" t="s">
        <v>85</v>
      </c>
      <c r="K52" s="3" t="s">
        <v>101</v>
      </c>
      <c r="L52" s="3">
        <v>16</v>
      </c>
      <c r="M52" s="3" t="s">
        <v>115</v>
      </c>
      <c r="N52" s="3" t="s">
        <v>123</v>
      </c>
      <c r="O52" s="3">
        <v>8</v>
      </c>
      <c r="P52" s="3" t="s">
        <v>124</v>
      </c>
      <c r="Q52" s="3" t="s">
        <v>127</v>
      </c>
      <c r="R52" s="3">
        <v>8</v>
      </c>
      <c r="S52" s="3" t="s">
        <v>161</v>
      </c>
      <c r="T52" s="3" t="s">
        <v>140</v>
      </c>
      <c r="U52" s="3">
        <v>10</v>
      </c>
      <c r="V52" s="3" t="s">
        <v>161</v>
      </c>
    </row>
    <row r="53" spans="1:22" hidden="1">
      <c r="A53" s="1">
        <v>21075</v>
      </c>
      <c r="B53" s="1" t="s">
        <v>36</v>
      </c>
      <c r="C53" s="1">
        <v>19</v>
      </c>
      <c r="D53" s="1" t="s">
        <v>55</v>
      </c>
      <c r="E53" s="1" t="s">
        <v>1</v>
      </c>
      <c r="F53" s="1">
        <f t="shared" si="0"/>
        <v>47</v>
      </c>
      <c r="G53" s="1">
        <f t="shared" si="1"/>
        <v>84</v>
      </c>
      <c r="H53" s="3" t="s">
        <v>77</v>
      </c>
      <c r="I53" s="3">
        <v>8</v>
      </c>
      <c r="J53" s="3" t="s">
        <v>99</v>
      </c>
      <c r="K53" s="3" t="s">
        <v>101</v>
      </c>
      <c r="L53" s="3">
        <v>17</v>
      </c>
      <c r="M53" s="3" t="s">
        <v>161</v>
      </c>
      <c r="N53" s="3" t="s">
        <v>123</v>
      </c>
      <c r="O53" s="3">
        <v>10</v>
      </c>
      <c r="P53" s="3" t="s">
        <v>161</v>
      </c>
      <c r="Q53" s="3" t="s">
        <v>127</v>
      </c>
      <c r="R53" s="3">
        <v>8</v>
      </c>
      <c r="S53" s="3" t="s">
        <v>161</v>
      </c>
      <c r="T53" s="3" t="s">
        <v>140</v>
      </c>
      <c r="U53" s="3">
        <v>4</v>
      </c>
      <c r="V53" s="3" t="s">
        <v>150</v>
      </c>
    </row>
    <row r="54" spans="1:22">
      <c r="A54" s="1">
        <v>22051</v>
      </c>
      <c r="B54" s="1" t="s">
        <v>36</v>
      </c>
      <c r="C54" s="1">
        <v>20</v>
      </c>
      <c r="D54" s="1" t="s">
        <v>56</v>
      </c>
      <c r="E54" s="1" t="s">
        <v>1</v>
      </c>
      <c r="F54" s="1">
        <f t="shared" si="0"/>
        <v>10</v>
      </c>
      <c r="G54" s="1">
        <f t="shared" si="1"/>
        <v>18</v>
      </c>
      <c r="H54" s="3" t="s">
        <v>77</v>
      </c>
      <c r="I54" s="3">
        <v>0</v>
      </c>
      <c r="J54" s="3" t="s">
        <v>159</v>
      </c>
      <c r="K54" s="3" t="s">
        <v>101</v>
      </c>
      <c r="L54" s="3">
        <v>0</v>
      </c>
      <c r="M54" s="3" t="s">
        <v>159</v>
      </c>
      <c r="N54" s="3" t="s">
        <v>123</v>
      </c>
      <c r="O54" s="3">
        <v>10</v>
      </c>
      <c r="P54" s="3" t="s">
        <v>161</v>
      </c>
      <c r="Q54" s="3" t="s">
        <v>127</v>
      </c>
      <c r="R54" s="3">
        <v>0</v>
      </c>
      <c r="S54" s="3" t="s">
        <v>159</v>
      </c>
      <c r="T54" s="3" t="s">
        <v>140</v>
      </c>
      <c r="U54" s="3">
        <v>0</v>
      </c>
      <c r="V54" s="3" t="s">
        <v>159</v>
      </c>
    </row>
    <row r="55" spans="1:22" hidden="1">
      <c r="A55" s="1">
        <v>24126</v>
      </c>
      <c r="B55" s="1" t="s">
        <v>36</v>
      </c>
      <c r="C55" s="1">
        <v>21</v>
      </c>
      <c r="D55" s="1" t="s">
        <v>57</v>
      </c>
      <c r="E55" s="1" t="s">
        <v>3</v>
      </c>
      <c r="F55" s="1">
        <f t="shared" si="0"/>
        <v>45</v>
      </c>
      <c r="G55" s="1">
        <f t="shared" si="1"/>
        <v>80</v>
      </c>
      <c r="H55" s="3" t="s">
        <v>77</v>
      </c>
      <c r="I55" s="3">
        <v>6</v>
      </c>
      <c r="J55" s="3" t="s">
        <v>81</v>
      </c>
      <c r="K55" s="3" t="s">
        <v>101</v>
      </c>
      <c r="L55" s="3">
        <v>12</v>
      </c>
      <c r="M55" s="3" t="s">
        <v>112</v>
      </c>
      <c r="N55" s="3" t="s">
        <v>123</v>
      </c>
      <c r="O55" s="3">
        <v>10</v>
      </c>
      <c r="P55" s="3" t="s">
        <v>161</v>
      </c>
      <c r="Q55" s="3" t="s">
        <v>127</v>
      </c>
      <c r="R55" s="3">
        <v>8</v>
      </c>
      <c r="S55" s="3" t="s">
        <v>161</v>
      </c>
      <c r="T55" s="3" t="s">
        <v>140</v>
      </c>
      <c r="U55" s="3">
        <v>9</v>
      </c>
      <c r="V55" s="3" t="s">
        <v>161</v>
      </c>
    </row>
    <row r="56" spans="1:22" hidden="1">
      <c r="A56" s="1">
        <v>22052</v>
      </c>
      <c r="B56" s="1" t="s">
        <v>36</v>
      </c>
      <c r="C56" s="1">
        <v>22</v>
      </c>
      <c r="D56" s="1" t="s">
        <v>58</v>
      </c>
      <c r="E56" s="1" t="s">
        <v>3</v>
      </c>
      <c r="F56" s="1">
        <f t="shared" si="0"/>
        <v>48</v>
      </c>
      <c r="G56" s="1">
        <f t="shared" si="1"/>
        <v>86</v>
      </c>
      <c r="H56" s="3" t="s">
        <v>77</v>
      </c>
      <c r="I56" s="3">
        <v>8</v>
      </c>
      <c r="J56" s="3" t="s">
        <v>78</v>
      </c>
      <c r="K56" s="3" t="s">
        <v>101</v>
      </c>
      <c r="L56" s="3">
        <v>15</v>
      </c>
      <c r="M56" s="3" t="s">
        <v>103</v>
      </c>
      <c r="N56" s="3" t="s">
        <v>123</v>
      </c>
      <c r="O56" s="3">
        <v>8</v>
      </c>
      <c r="P56" s="3" t="s">
        <v>161</v>
      </c>
      <c r="Q56" s="3" t="s">
        <v>127</v>
      </c>
      <c r="R56" s="3">
        <v>8</v>
      </c>
      <c r="S56" s="3" t="s">
        <v>161</v>
      </c>
      <c r="T56" s="3" t="s">
        <v>140</v>
      </c>
      <c r="U56" s="3">
        <v>9</v>
      </c>
      <c r="V56" s="3" t="s">
        <v>161</v>
      </c>
    </row>
    <row r="57" spans="1:22" hidden="1">
      <c r="A57" s="1">
        <v>22053</v>
      </c>
      <c r="B57" s="1" t="s">
        <v>36</v>
      </c>
      <c r="C57" s="1">
        <v>23</v>
      </c>
      <c r="D57" s="1" t="s">
        <v>59</v>
      </c>
      <c r="E57" s="1" t="s">
        <v>3</v>
      </c>
      <c r="F57" s="1">
        <f t="shared" si="0"/>
        <v>47</v>
      </c>
      <c r="G57" s="1">
        <f t="shared" si="1"/>
        <v>84</v>
      </c>
      <c r="H57" s="3" t="s">
        <v>77</v>
      </c>
      <c r="I57" s="3">
        <v>6</v>
      </c>
      <c r="J57" s="3" t="s">
        <v>96</v>
      </c>
      <c r="K57" s="3" t="s">
        <v>101</v>
      </c>
      <c r="L57" s="3">
        <v>13</v>
      </c>
      <c r="M57" s="3" t="s">
        <v>109</v>
      </c>
      <c r="N57" s="3" t="s">
        <v>123</v>
      </c>
      <c r="O57" s="3">
        <v>10</v>
      </c>
      <c r="P57" s="3" t="s">
        <v>161</v>
      </c>
      <c r="Q57" s="3" t="s">
        <v>127</v>
      </c>
      <c r="R57" s="3">
        <v>8</v>
      </c>
      <c r="S57" s="3" t="s">
        <v>161</v>
      </c>
      <c r="T57" s="3" t="s">
        <v>140</v>
      </c>
      <c r="U57" s="3">
        <v>10</v>
      </c>
      <c r="V57" s="3" t="s">
        <v>161</v>
      </c>
    </row>
    <row r="58" spans="1:22">
      <c r="A58" s="1">
        <v>21112</v>
      </c>
      <c r="B58" s="1" t="s">
        <v>36</v>
      </c>
      <c r="C58" s="1">
        <v>24</v>
      </c>
      <c r="D58" s="1" t="s">
        <v>60</v>
      </c>
      <c r="E58" s="1" t="s">
        <v>3</v>
      </c>
      <c r="F58" s="1">
        <f t="shared" si="0"/>
        <v>38</v>
      </c>
      <c r="G58" s="1">
        <f t="shared" si="1"/>
        <v>68</v>
      </c>
      <c r="H58" s="3" t="s">
        <v>77</v>
      </c>
      <c r="I58" s="3">
        <v>6</v>
      </c>
      <c r="J58" s="3" t="s">
        <v>100</v>
      </c>
      <c r="K58" s="3" t="s">
        <v>101</v>
      </c>
      <c r="L58" s="3">
        <v>14</v>
      </c>
      <c r="M58" s="3" t="s">
        <v>116</v>
      </c>
      <c r="N58" s="3" t="s">
        <v>123</v>
      </c>
      <c r="O58" s="3">
        <v>8</v>
      </c>
      <c r="P58" s="3" t="s">
        <v>124</v>
      </c>
      <c r="Q58" s="3" t="s">
        <v>127</v>
      </c>
      <c r="R58" s="3">
        <v>6</v>
      </c>
      <c r="S58" s="3" t="s">
        <v>135</v>
      </c>
      <c r="T58" s="3" t="s">
        <v>140</v>
      </c>
      <c r="U58" s="3">
        <v>4</v>
      </c>
      <c r="V58" s="3" t="s">
        <v>151</v>
      </c>
    </row>
    <row r="59" spans="1:22">
      <c r="A59" s="1">
        <v>22054</v>
      </c>
      <c r="B59" s="1" t="s">
        <v>36</v>
      </c>
      <c r="C59" s="1">
        <v>25</v>
      </c>
      <c r="D59" s="1" t="s">
        <v>61</v>
      </c>
      <c r="E59" s="1" t="s">
        <v>1</v>
      </c>
      <c r="F59" s="1">
        <f t="shared" si="0"/>
        <v>42</v>
      </c>
      <c r="G59" s="1">
        <f t="shared" si="1"/>
        <v>75</v>
      </c>
      <c r="H59" s="3" t="s">
        <v>77</v>
      </c>
      <c r="I59" s="3">
        <v>9</v>
      </c>
      <c r="J59" s="3" t="s">
        <v>78</v>
      </c>
      <c r="K59" s="3" t="s">
        <v>101</v>
      </c>
      <c r="L59" s="3">
        <v>17</v>
      </c>
      <c r="M59" s="3" t="s">
        <v>161</v>
      </c>
      <c r="N59" s="3" t="s">
        <v>123</v>
      </c>
      <c r="O59" s="3">
        <v>0</v>
      </c>
      <c r="P59" s="3" t="s">
        <v>159</v>
      </c>
      <c r="Q59" s="3" t="s">
        <v>127</v>
      </c>
      <c r="R59" s="3">
        <v>8</v>
      </c>
      <c r="S59" s="3" t="s">
        <v>161</v>
      </c>
      <c r="T59" s="3" t="s">
        <v>140</v>
      </c>
      <c r="U59" s="3">
        <v>8</v>
      </c>
      <c r="V59" s="3" t="s">
        <v>148</v>
      </c>
    </row>
    <row r="60" spans="1:22">
      <c r="A60" s="1">
        <v>22055</v>
      </c>
      <c r="B60" s="1" t="s">
        <v>36</v>
      </c>
      <c r="C60" s="1">
        <v>26</v>
      </c>
      <c r="D60" s="1" t="s">
        <v>62</v>
      </c>
      <c r="E60" s="1" t="s">
        <v>3</v>
      </c>
      <c r="F60" s="1">
        <f t="shared" si="0"/>
        <v>54</v>
      </c>
      <c r="G60" s="1">
        <f t="shared" si="1"/>
        <v>96</v>
      </c>
      <c r="H60" s="3" t="s">
        <v>77</v>
      </c>
      <c r="I60" s="3">
        <v>11</v>
      </c>
      <c r="J60" s="3" t="s">
        <v>161</v>
      </c>
      <c r="K60" s="3" t="s">
        <v>101</v>
      </c>
      <c r="L60" s="3">
        <v>14</v>
      </c>
      <c r="M60" s="3" t="s">
        <v>117</v>
      </c>
      <c r="N60" s="3" t="s">
        <v>123</v>
      </c>
      <c r="O60" s="3">
        <v>10</v>
      </c>
      <c r="P60" s="3" t="s">
        <v>161</v>
      </c>
      <c r="Q60" s="3" t="s">
        <v>127</v>
      </c>
      <c r="R60" s="3">
        <v>9</v>
      </c>
      <c r="S60" s="3" t="s">
        <v>161</v>
      </c>
      <c r="T60" s="3" t="s">
        <v>140</v>
      </c>
      <c r="U60" s="3">
        <v>10</v>
      </c>
      <c r="V60" s="3" t="s">
        <v>161</v>
      </c>
    </row>
    <row r="61" spans="1:22" hidden="1">
      <c r="A61" s="1">
        <v>22058</v>
      </c>
      <c r="B61" s="1" t="s">
        <v>36</v>
      </c>
      <c r="C61" s="1">
        <v>27</v>
      </c>
      <c r="D61" s="1" t="s">
        <v>63</v>
      </c>
      <c r="E61" s="1" t="s">
        <v>1</v>
      </c>
      <c r="F61" s="1">
        <f t="shared" si="0"/>
        <v>44</v>
      </c>
      <c r="G61" s="1">
        <f t="shared" si="1"/>
        <v>79</v>
      </c>
      <c r="H61" s="3" t="s">
        <v>77</v>
      </c>
      <c r="I61" s="3">
        <v>8</v>
      </c>
      <c r="J61" s="3" t="s">
        <v>78</v>
      </c>
      <c r="K61" s="3" t="s">
        <v>101</v>
      </c>
      <c r="L61" s="3">
        <v>12</v>
      </c>
      <c r="M61" s="3" t="s">
        <v>112</v>
      </c>
      <c r="N61" s="3" t="s">
        <v>123</v>
      </c>
      <c r="O61" s="3">
        <v>8</v>
      </c>
      <c r="P61" s="3" t="s">
        <v>124</v>
      </c>
      <c r="Q61" s="3" t="s">
        <v>127</v>
      </c>
      <c r="R61" s="3">
        <v>8</v>
      </c>
      <c r="S61" s="3" t="s">
        <v>161</v>
      </c>
      <c r="T61" s="3" t="s">
        <v>140</v>
      </c>
      <c r="U61" s="3">
        <v>8</v>
      </c>
      <c r="V61" s="3" t="s">
        <v>152</v>
      </c>
    </row>
    <row r="62" spans="1:22" hidden="1">
      <c r="A62" s="1">
        <v>22059</v>
      </c>
      <c r="B62" s="1" t="s">
        <v>36</v>
      </c>
      <c r="C62" s="1">
        <v>28</v>
      </c>
      <c r="D62" s="1" t="s">
        <v>64</v>
      </c>
      <c r="E62" s="1" t="s">
        <v>1</v>
      </c>
      <c r="F62" s="1">
        <f t="shared" si="0"/>
        <v>46</v>
      </c>
      <c r="G62" s="1">
        <f t="shared" si="1"/>
        <v>82</v>
      </c>
      <c r="H62" s="3" t="s">
        <v>77</v>
      </c>
      <c r="I62" s="3">
        <v>6</v>
      </c>
      <c r="J62" s="3" t="s">
        <v>96</v>
      </c>
      <c r="K62" s="3" t="s">
        <v>101</v>
      </c>
      <c r="L62" s="3">
        <v>16</v>
      </c>
      <c r="M62" s="3" t="s">
        <v>161</v>
      </c>
      <c r="N62" s="3" t="s">
        <v>123</v>
      </c>
      <c r="O62" s="3">
        <v>10</v>
      </c>
      <c r="P62" s="3" t="s">
        <v>161</v>
      </c>
      <c r="Q62" s="3" t="s">
        <v>127</v>
      </c>
      <c r="R62" s="3">
        <v>6</v>
      </c>
      <c r="S62" s="3" t="s">
        <v>135</v>
      </c>
      <c r="T62" s="3" t="s">
        <v>140</v>
      </c>
      <c r="U62" s="3">
        <v>8</v>
      </c>
      <c r="V62" s="3" t="s">
        <v>148</v>
      </c>
    </row>
    <row r="63" spans="1:22" hidden="1">
      <c r="A63" s="1">
        <v>22060</v>
      </c>
      <c r="B63" s="1" t="s">
        <v>36</v>
      </c>
      <c r="C63" s="1">
        <v>29</v>
      </c>
      <c r="D63" s="1" t="s">
        <v>65</v>
      </c>
      <c r="E63" s="1" t="s">
        <v>1</v>
      </c>
      <c r="F63" s="1">
        <f t="shared" si="0"/>
        <v>29</v>
      </c>
      <c r="G63" s="1">
        <f t="shared" si="1"/>
        <v>52</v>
      </c>
      <c r="H63" s="3" t="s">
        <v>77</v>
      </c>
      <c r="I63" s="3">
        <v>6</v>
      </c>
      <c r="J63" s="3" t="s">
        <v>96</v>
      </c>
      <c r="K63" s="3" t="s">
        <v>101</v>
      </c>
      <c r="L63" s="3">
        <v>11</v>
      </c>
      <c r="M63" s="3" t="s">
        <v>112</v>
      </c>
      <c r="N63" s="3" t="s">
        <v>123</v>
      </c>
      <c r="O63" s="3">
        <v>0</v>
      </c>
      <c r="P63" s="3" t="s">
        <v>159</v>
      </c>
      <c r="Q63" s="3" t="s">
        <v>127</v>
      </c>
      <c r="R63" s="3">
        <v>6</v>
      </c>
      <c r="S63" s="3" t="s">
        <v>138</v>
      </c>
      <c r="T63" s="3" t="s">
        <v>140</v>
      </c>
      <c r="U63" s="3">
        <v>6</v>
      </c>
      <c r="V63" s="3" t="s">
        <v>153</v>
      </c>
    </row>
    <row r="64" spans="1:22" hidden="1">
      <c r="A64" s="1">
        <v>20114</v>
      </c>
      <c r="B64" s="1" t="s">
        <v>36</v>
      </c>
      <c r="C64" s="1">
        <v>30</v>
      </c>
      <c r="D64" s="1" t="s">
        <v>66</v>
      </c>
      <c r="E64" s="1" t="s">
        <v>1</v>
      </c>
      <c r="F64" s="1">
        <f t="shared" si="0"/>
        <v>27</v>
      </c>
      <c r="G64" s="1">
        <f t="shared" si="1"/>
        <v>48</v>
      </c>
      <c r="H64" s="3" t="s">
        <v>77</v>
      </c>
      <c r="I64" s="3">
        <v>6</v>
      </c>
      <c r="J64" s="3" t="s">
        <v>81</v>
      </c>
      <c r="K64" s="3" t="s">
        <v>101</v>
      </c>
      <c r="L64" s="3">
        <v>13</v>
      </c>
      <c r="M64" s="3" t="s">
        <v>104</v>
      </c>
      <c r="N64" s="3" t="s">
        <v>123</v>
      </c>
      <c r="O64" s="3">
        <v>0</v>
      </c>
      <c r="P64" s="3" t="s">
        <v>159</v>
      </c>
      <c r="Q64" s="3" t="s">
        <v>127</v>
      </c>
      <c r="R64" s="3">
        <v>8</v>
      </c>
      <c r="S64" s="3" t="s">
        <v>161</v>
      </c>
      <c r="T64" s="3" t="s">
        <v>140</v>
      </c>
      <c r="U64" s="3">
        <v>0</v>
      </c>
      <c r="V64" s="3" t="s">
        <v>159</v>
      </c>
    </row>
    <row r="65" spans="1:22" hidden="1">
      <c r="A65" s="1">
        <v>22061</v>
      </c>
      <c r="B65" s="1" t="s">
        <v>36</v>
      </c>
      <c r="C65" s="1">
        <v>31</v>
      </c>
      <c r="D65" s="1" t="s">
        <v>67</v>
      </c>
      <c r="E65" s="1" t="s">
        <v>3</v>
      </c>
      <c r="F65" s="1">
        <f t="shared" si="0"/>
        <v>34</v>
      </c>
      <c r="G65" s="1">
        <f t="shared" si="1"/>
        <v>61</v>
      </c>
      <c r="H65" s="3" t="s">
        <v>77</v>
      </c>
      <c r="I65" s="3">
        <v>9</v>
      </c>
      <c r="J65" s="3" t="s">
        <v>98</v>
      </c>
      <c r="K65" s="3" t="s">
        <v>101</v>
      </c>
      <c r="L65" s="3">
        <v>14</v>
      </c>
      <c r="M65" s="3" t="s">
        <v>103</v>
      </c>
      <c r="N65" s="3" t="s">
        <v>123</v>
      </c>
      <c r="O65" s="3">
        <v>0</v>
      </c>
      <c r="P65" s="3" t="s">
        <v>159</v>
      </c>
      <c r="Q65" s="3" t="s">
        <v>127</v>
      </c>
      <c r="R65" s="3">
        <v>6</v>
      </c>
      <c r="S65" s="3" t="s">
        <v>139</v>
      </c>
      <c r="T65" s="3" t="s">
        <v>140</v>
      </c>
      <c r="U65" s="3">
        <v>5</v>
      </c>
      <c r="V65" s="3" t="s">
        <v>150</v>
      </c>
    </row>
    <row r="66" spans="1:22" hidden="1">
      <c r="A66" s="1">
        <v>22062</v>
      </c>
      <c r="B66" s="1" t="s">
        <v>36</v>
      </c>
      <c r="C66" s="1">
        <v>32</v>
      </c>
      <c r="D66" s="1" t="s">
        <v>68</v>
      </c>
      <c r="E66" s="1" t="s">
        <v>3</v>
      </c>
      <c r="F66" s="1">
        <f t="shared" ref="F66" si="2">SUM(I66,L66,O66,R66,U66)</f>
        <v>29</v>
      </c>
      <c r="G66" s="1">
        <f t="shared" ref="G66" si="3">ROUND(F66/F$1*100,0)</f>
        <v>52</v>
      </c>
      <c r="H66" s="3" t="s">
        <v>77</v>
      </c>
      <c r="I66" s="3">
        <v>0</v>
      </c>
      <c r="J66" s="3" t="s">
        <v>159</v>
      </c>
      <c r="K66" s="3" t="s">
        <v>101</v>
      </c>
      <c r="L66" s="3">
        <v>16</v>
      </c>
      <c r="M66" s="3" t="s">
        <v>115</v>
      </c>
      <c r="N66" s="3" t="s">
        <v>123</v>
      </c>
      <c r="O66" s="3">
        <v>0</v>
      </c>
      <c r="P66" s="3" t="s">
        <v>159</v>
      </c>
      <c r="Q66" s="3" t="s">
        <v>127</v>
      </c>
      <c r="R66" s="3">
        <v>5</v>
      </c>
      <c r="S66" s="3" t="s">
        <v>136</v>
      </c>
      <c r="T66" s="3" t="s">
        <v>140</v>
      </c>
      <c r="U66" s="3">
        <v>8</v>
      </c>
      <c r="V66" s="3" t="s">
        <v>141</v>
      </c>
    </row>
  </sheetData>
  <autoFilter ref="A1:V66" xr:uid="{4913E0AB-28E9-4A42-992F-736188AB1A0D}">
    <filterColumn colId="6">
      <filters>
        <filter val="18"/>
        <filter val="41"/>
        <filter val="43"/>
        <filter val="64"/>
        <filter val="68"/>
        <filter val="75"/>
        <filter val="91"/>
        <filter val="93"/>
        <filter val="96"/>
      </filters>
    </filterColumn>
  </autoFilter>
  <phoneticPr fontId="1" type="noConversion"/>
  <conditionalFormatting sqref="A1:G1048576">
    <cfRule type="expression" dxfId="0" priority="1">
      <formula>MOD($C1,5)=1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工作表1</vt:lpstr>
      <vt:lpstr>HWInspection</vt:lpstr>
      <vt:lpstr>工作表1!Print_Titles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</dc:creator>
  <cp:lastModifiedBy>CM</cp:lastModifiedBy>
  <cp:lastPrinted>2024-10-29T07:42:22Z</cp:lastPrinted>
  <dcterms:created xsi:type="dcterms:W3CDTF">2024-09-20T02:06:41Z</dcterms:created>
  <dcterms:modified xsi:type="dcterms:W3CDTF">2025-11-25T08:08:05Z</dcterms:modified>
</cp:coreProperties>
</file>